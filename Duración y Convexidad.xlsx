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uanK\Dropbox\Clases\EAFIT\Inversiones\Archivos Excel\"/>
    </mc:Choice>
  </mc:AlternateContent>
  <xr:revisionPtr revIDLastSave="0" documentId="13_ncr:1_{FBE63ECF-F953-4A60-B23F-A9B2FE69B968}" xr6:coauthVersionLast="47" xr6:coauthVersionMax="47" xr10:uidLastSave="{00000000-0000-0000-0000-000000000000}"/>
  <bookViews>
    <workbookView xWindow="-120" yWindow="516" windowWidth="23304" windowHeight="115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1" i="1" l="1"/>
  <c r="B22" i="1"/>
  <c r="B20" i="1" s="1"/>
  <c r="B12" i="1"/>
  <c r="A12" i="1"/>
  <c r="C10" i="1"/>
  <c r="A10" i="1"/>
  <c r="D16" i="1"/>
  <c r="C8" i="1"/>
  <c r="A16" i="1"/>
  <c r="B24" i="1" l="1"/>
  <c r="B26" i="1" s="1"/>
  <c r="C22" i="1"/>
  <c r="C20" i="1" l="1"/>
  <c r="D22" i="1"/>
  <c r="B27" i="1"/>
  <c r="D20" i="1" l="1"/>
  <c r="D24" i="1" s="1"/>
  <c r="E22" i="1"/>
  <c r="F22" i="1" s="1"/>
  <c r="C24" i="1"/>
  <c r="C26" i="1" s="1"/>
  <c r="D26" i="1" l="1"/>
  <c r="E20" i="1"/>
  <c r="E24" i="1" s="1"/>
  <c r="E26" i="1" s="1"/>
  <c r="C27" i="1"/>
  <c r="G22" i="1"/>
  <c r="F20" i="1"/>
  <c r="F24" i="1" s="1"/>
  <c r="D27" i="1"/>
  <c r="F26" i="1" l="1"/>
  <c r="H22" i="1"/>
  <c r="G20" i="1"/>
  <c r="G24" i="1" s="1"/>
  <c r="E27" i="1"/>
  <c r="F27" i="1" l="1"/>
  <c r="G26" i="1"/>
  <c r="I22" i="1"/>
  <c r="H20" i="1"/>
  <c r="H24" i="1" s="1"/>
  <c r="G27" i="1" l="1"/>
  <c r="H26" i="1"/>
  <c r="J22" i="1"/>
  <c r="I20" i="1"/>
  <c r="I24" i="1" s="1"/>
  <c r="H27" i="1" l="1"/>
  <c r="I26" i="1"/>
  <c r="K22" i="1"/>
  <c r="J20" i="1"/>
  <c r="J24" i="1" s="1"/>
  <c r="L22" i="1" l="1"/>
  <c r="K20" i="1"/>
  <c r="K24" i="1" s="1"/>
  <c r="I27" i="1"/>
  <c r="J26" i="1"/>
  <c r="J27" i="1" l="1"/>
  <c r="K26" i="1"/>
  <c r="M22" i="1"/>
  <c r="L20" i="1"/>
  <c r="L24" i="1" s="1"/>
  <c r="K27" i="1" l="1"/>
  <c r="L26" i="1"/>
  <c r="N22" i="1"/>
  <c r="M20" i="1"/>
  <c r="M24" i="1" s="1"/>
  <c r="L27" i="1" l="1"/>
  <c r="M26" i="1"/>
  <c r="O22" i="1"/>
  <c r="N20" i="1"/>
  <c r="N24" i="1" s="1"/>
  <c r="M27" i="1" l="1"/>
  <c r="N26" i="1"/>
  <c r="P22" i="1"/>
  <c r="O20" i="1"/>
  <c r="O24" i="1" s="1"/>
  <c r="N27" i="1" l="1"/>
  <c r="O26" i="1"/>
  <c r="Q22" i="1"/>
  <c r="P20" i="1"/>
  <c r="P24" i="1" s="1"/>
  <c r="O27" i="1" l="1"/>
  <c r="P26" i="1"/>
  <c r="R22" i="1"/>
  <c r="Q20" i="1"/>
  <c r="Q24" i="1" s="1"/>
  <c r="P27" i="1" l="1"/>
  <c r="Q26" i="1"/>
  <c r="S22" i="1"/>
  <c r="R20" i="1"/>
  <c r="R24" i="1" s="1"/>
  <c r="Q27" i="1" l="1"/>
  <c r="R26" i="1"/>
  <c r="T22" i="1"/>
  <c r="S20" i="1"/>
  <c r="S24" i="1" s="1"/>
  <c r="R27" i="1" l="1"/>
  <c r="S26" i="1"/>
  <c r="U22" i="1"/>
  <c r="T20" i="1"/>
  <c r="T24" i="1" s="1"/>
  <c r="S27" i="1" l="1"/>
  <c r="T26" i="1"/>
  <c r="V22" i="1"/>
  <c r="U20" i="1"/>
  <c r="U24" i="1" s="1"/>
  <c r="T27" i="1" l="1"/>
  <c r="U26" i="1"/>
  <c r="W22" i="1"/>
  <c r="V20" i="1"/>
  <c r="V24" i="1" s="1"/>
  <c r="U27" i="1" l="1"/>
  <c r="V26" i="1"/>
  <c r="X22" i="1"/>
  <c r="W20" i="1"/>
  <c r="W24" i="1" s="1"/>
  <c r="V27" i="1" l="1"/>
  <c r="W26" i="1"/>
  <c r="Y22" i="1"/>
  <c r="X20" i="1"/>
  <c r="X24" i="1" s="1"/>
  <c r="W27" i="1" l="1"/>
  <c r="X26" i="1"/>
  <c r="Z22" i="1"/>
  <c r="Y20" i="1"/>
  <c r="Y24" i="1" s="1"/>
  <c r="X27" i="1" l="1"/>
  <c r="Y26" i="1"/>
  <c r="AA22" i="1"/>
  <c r="Z20" i="1"/>
  <c r="Z24" i="1" s="1"/>
  <c r="Y27" i="1" l="1"/>
  <c r="Z26" i="1"/>
  <c r="AB22" i="1"/>
  <c r="AA20" i="1"/>
  <c r="AA24" i="1" s="1"/>
  <c r="Z27" i="1" l="1"/>
  <c r="AA26" i="1"/>
  <c r="AC22" i="1"/>
  <c r="AB20" i="1"/>
  <c r="AB24" i="1" s="1"/>
  <c r="AA27" i="1" l="1"/>
  <c r="AB26" i="1"/>
  <c r="AD22" i="1"/>
  <c r="AC20" i="1"/>
  <c r="AC24" i="1" s="1"/>
  <c r="AB27" i="1" l="1"/>
  <c r="AC26" i="1"/>
  <c r="AE22" i="1"/>
  <c r="AD20" i="1"/>
  <c r="AD24" i="1" s="1"/>
  <c r="AC27" i="1" l="1"/>
  <c r="AD26" i="1"/>
  <c r="AF22" i="1"/>
  <c r="AE20" i="1"/>
  <c r="AE24" i="1" s="1"/>
  <c r="AD27" i="1" l="1"/>
  <c r="AE26" i="1"/>
  <c r="AG22" i="1"/>
  <c r="AF20" i="1"/>
  <c r="AF24" i="1" s="1"/>
  <c r="AE27" i="1" l="1"/>
  <c r="AF26" i="1"/>
  <c r="AH22" i="1"/>
  <c r="AG20" i="1"/>
  <c r="AG24" i="1" s="1"/>
  <c r="AF27" i="1" l="1"/>
  <c r="AG26" i="1"/>
  <c r="AI22" i="1"/>
  <c r="AH20" i="1"/>
  <c r="AH24" i="1" s="1"/>
  <c r="AG27" i="1" l="1"/>
  <c r="AH26" i="1"/>
  <c r="AJ22" i="1"/>
  <c r="AI20" i="1"/>
  <c r="AI24" i="1" s="1"/>
  <c r="AH27" i="1" l="1"/>
  <c r="AI26" i="1"/>
  <c r="AK22" i="1"/>
  <c r="AJ20" i="1"/>
  <c r="AJ24" i="1" s="1"/>
  <c r="AI27" i="1" l="1"/>
  <c r="AJ26" i="1"/>
  <c r="AL22" i="1"/>
  <c r="AK20" i="1"/>
  <c r="AK24" i="1" s="1"/>
  <c r="AJ27" i="1" l="1"/>
  <c r="AK26" i="1"/>
  <c r="AM22" i="1"/>
  <c r="AL20" i="1"/>
  <c r="AL24" i="1" s="1"/>
  <c r="AK27" i="1" l="1"/>
  <c r="AL26" i="1"/>
  <c r="AN22" i="1"/>
  <c r="AM20" i="1"/>
  <c r="AM24" i="1" s="1"/>
  <c r="AL27" i="1" l="1"/>
  <c r="AM26" i="1"/>
  <c r="AO22" i="1"/>
  <c r="AN20" i="1"/>
  <c r="AN24" i="1" s="1"/>
  <c r="AM27" i="1" l="1"/>
  <c r="AN26" i="1"/>
  <c r="AP22" i="1"/>
  <c r="AO20" i="1"/>
  <c r="AO24" i="1" s="1"/>
  <c r="AN27" i="1" l="1"/>
  <c r="AO26" i="1"/>
  <c r="AQ22" i="1"/>
  <c r="AP20" i="1"/>
  <c r="AP24" i="1" s="1"/>
  <c r="AO27" i="1" l="1"/>
  <c r="AP26" i="1"/>
  <c r="AR22" i="1"/>
  <c r="AQ20" i="1"/>
  <c r="AQ24" i="1" s="1"/>
  <c r="AP27" i="1" l="1"/>
  <c r="AQ26" i="1"/>
  <c r="AS22" i="1"/>
  <c r="AR20" i="1"/>
  <c r="AR24" i="1" s="1"/>
  <c r="AQ27" i="1" l="1"/>
  <c r="AR26" i="1"/>
  <c r="AT22" i="1"/>
  <c r="AS20" i="1"/>
  <c r="AS24" i="1" s="1"/>
  <c r="AR27" i="1" l="1"/>
  <c r="AS26" i="1"/>
  <c r="AU22" i="1"/>
  <c r="AT20" i="1"/>
  <c r="AT24" i="1" s="1"/>
  <c r="AS27" i="1" l="1"/>
  <c r="AT26" i="1"/>
  <c r="AV22" i="1"/>
  <c r="AU20" i="1"/>
  <c r="AU24" i="1" s="1"/>
  <c r="AT27" i="1" l="1"/>
  <c r="AU26" i="1"/>
  <c r="AW22" i="1"/>
  <c r="AV20" i="1"/>
  <c r="AV24" i="1" s="1"/>
  <c r="AU27" i="1" l="1"/>
  <c r="AV26" i="1"/>
  <c r="AX22" i="1"/>
  <c r="AW20" i="1"/>
  <c r="AW24" i="1" s="1"/>
  <c r="AV27" i="1" l="1"/>
  <c r="AW26" i="1"/>
  <c r="AY22" i="1"/>
  <c r="AX20" i="1"/>
  <c r="AX24" i="1" s="1"/>
  <c r="AW27" i="1" l="1"/>
  <c r="AX26" i="1"/>
  <c r="AZ22" i="1"/>
  <c r="AY20" i="1"/>
  <c r="AY24" i="1" s="1"/>
  <c r="AX27" i="1" l="1"/>
  <c r="AY26" i="1"/>
  <c r="BA22" i="1"/>
  <c r="AZ20" i="1"/>
  <c r="AZ24" i="1" s="1"/>
  <c r="AY27" i="1" l="1"/>
  <c r="AZ26" i="1"/>
  <c r="BB22" i="1"/>
  <c r="BA20" i="1"/>
  <c r="BA24" i="1" s="1"/>
  <c r="AZ27" i="1" l="1"/>
  <c r="BA26" i="1"/>
  <c r="BC22" i="1"/>
  <c r="BB20" i="1"/>
  <c r="BB24" i="1" s="1"/>
  <c r="BA27" i="1" l="1"/>
  <c r="BB26" i="1"/>
  <c r="BD22" i="1"/>
  <c r="BC20" i="1"/>
  <c r="BC24" i="1" s="1"/>
  <c r="BB27" i="1" l="1"/>
  <c r="BC26" i="1"/>
  <c r="BE22" i="1"/>
  <c r="BD20" i="1"/>
  <c r="BD24" i="1" s="1"/>
  <c r="BC27" i="1" l="1"/>
  <c r="BD26" i="1"/>
  <c r="BF22" i="1"/>
  <c r="BE20" i="1"/>
  <c r="BE24" i="1" s="1"/>
  <c r="BD27" i="1" l="1"/>
  <c r="BE26" i="1"/>
  <c r="BG22" i="1"/>
  <c r="BF20" i="1"/>
  <c r="BF24" i="1" s="1"/>
  <c r="BE27" i="1" l="1"/>
  <c r="BF26" i="1"/>
  <c r="BH22" i="1"/>
  <c r="BG20" i="1"/>
  <c r="BG24" i="1" s="1"/>
  <c r="BF27" i="1" l="1"/>
  <c r="BG26" i="1"/>
  <c r="BI22" i="1"/>
  <c r="BH20" i="1"/>
  <c r="BH24" i="1" s="1"/>
  <c r="BG27" i="1" l="1"/>
  <c r="BH26" i="1"/>
  <c r="BJ22" i="1"/>
  <c r="BI20" i="1"/>
  <c r="BI24" i="1" s="1"/>
  <c r="BH27" i="1" l="1"/>
  <c r="BI26" i="1"/>
  <c r="BK22" i="1"/>
  <c r="BJ20" i="1"/>
  <c r="BJ24" i="1" s="1"/>
  <c r="BI27" i="1" l="1"/>
  <c r="BJ26" i="1"/>
  <c r="BL22" i="1"/>
  <c r="BK20" i="1"/>
  <c r="BK24" i="1" s="1"/>
  <c r="BJ27" i="1" l="1"/>
  <c r="BK26" i="1"/>
  <c r="BM22" i="1"/>
  <c r="BL20" i="1"/>
  <c r="BL24" i="1" s="1"/>
  <c r="BK27" i="1" l="1"/>
  <c r="BL26" i="1"/>
  <c r="BN22" i="1"/>
  <c r="BM20" i="1"/>
  <c r="BM24" i="1" s="1"/>
  <c r="BL27" i="1" l="1"/>
  <c r="BM26" i="1"/>
  <c r="BO22" i="1"/>
  <c r="BN20" i="1"/>
  <c r="BN24" i="1" s="1"/>
  <c r="BM27" i="1" l="1"/>
  <c r="BN26" i="1"/>
  <c r="BP22" i="1"/>
  <c r="BO20" i="1"/>
  <c r="BO24" i="1" s="1"/>
  <c r="BN27" i="1" l="1"/>
  <c r="BO26" i="1"/>
  <c r="BQ22" i="1"/>
  <c r="BP20" i="1"/>
  <c r="BP24" i="1" s="1"/>
  <c r="BO27" i="1" l="1"/>
  <c r="BP26" i="1"/>
  <c r="BR22" i="1"/>
  <c r="BQ20" i="1"/>
  <c r="BQ24" i="1" s="1"/>
  <c r="BP27" i="1" l="1"/>
  <c r="BQ26" i="1"/>
  <c r="BS22" i="1"/>
  <c r="BR20" i="1"/>
  <c r="BR24" i="1" s="1"/>
  <c r="BQ27" i="1" l="1"/>
  <c r="BR26" i="1"/>
  <c r="BT22" i="1"/>
  <c r="BS20" i="1"/>
  <c r="BS24" i="1" s="1"/>
  <c r="BR27" i="1" l="1"/>
  <c r="BS26" i="1"/>
  <c r="BU22" i="1"/>
  <c r="BT20" i="1"/>
  <c r="BT24" i="1" s="1"/>
  <c r="BS27" i="1" l="1"/>
  <c r="BT26" i="1"/>
  <c r="BV22" i="1"/>
  <c r="BU20" i="1"/>
  <c r="BU24" i="1" s="1"/>
  <c r="BT27" i="1" l="1"/>
  <c r="BU26" i="1"/>
  <c r="BW22" i="1"/>
  <c r="BV20" i="1"/>
  <c r="BV24" i="1" s="1"/>
  <c r="BU27" i="1" l="1"/>
  <c r="BV26" i="1"/>
  <c r="BX22" i="1"/>
  <c r="BW20" i="1"/>
  <c r="BW24" i="1" s="1"/>
  <c r="BV27" i="1" l="1"/>
  <c r="BW26" i="1"/>
  <c r="BY22" i="1"/>
  <c r="BX20" i="1"/>
  <c r="BX24" i="1" s="1"/>
  <c r="BW27" i="1" l="1"/>
  <c r="BX26" i="1"/>
  <c r="BZ22" i="1"/>
  <c r="BY20" i="1"/>
  <c r="BY24" i="1" s="1"/>
  <c r="BX27" i="1" l="1"/>
  <c r="BY26" i="1"/>
  <c r="CA22" i="1"/>
  <c r="BZ20" i="1"/>
  <c r="BZ24" i="1" s="1"/>
  <c r="BY27" i="1" l="1"/>
  <c r="BZ26" i="1"/>
  <c r="CB22" i="1"/>
  <c r="CA20" i="1"/>
  <c r="CA24" i="1" s="1"/>
  <c r="BZ27" i="1" l="1"/>
  <c r="CA26" i="1"/>
  <c r="CC22" i="1"/>
  <c r="CB20" i="1"/>
  <c r="CB24" i="1" s="1"/>
  <c r="CA27" i="1" l="1"/>
  <c r="CB26" i="1"/>
  <c r="CD22" i="1"/>
  <c r="CC20" i="1"/>
  <c r="CC24" i="1" s="1"/>
  <c r="CB27" i="1" l="1"/>
  <c r="CC26" i="1"/>
  <c r="CE22" i="1"/>
  <c r="CD20" i="1"/>
  <c r="CD24" i="1" s="1"/>
  <c r="CC27" i="1" l="1"/>
  <c r="CD26" i="1"/>
  <c r="CF22" i="1"/>
  <c r="CE20" i="1"/>
  <c r="CE24" i="1" s="1"/>
  <c r="CD27" i="1" l="1"/>
  <c r="CE26" i="1"/>
  <c r="CG22" i="1"/>
  <c r="CF20" i="1"/>
  <c r="CF24" i="1" s="1"/>
  <c r="CE27" i="1" l="1"/>
  <c r="CF26" i="1"/>
  <c r="CH22" i="1"/>
  <c r="CG20" i="1"/>
  <c r="CG24" i="1" s="1"/>
  <c r="CF27" i="1" l="1"/>
  <c r="CG26" i="1"/>
  <c r="CI22" i="1"/>
  <c r="CH20" i="1"/>
  <c r="CH24" i="1" s="1"/>
  <c r="CG27" i="1" l="1"/>
  <c r="CH26" i="1"/>
  <c r="CJ22" i="1"/>
  <c r="CI20" i="1"/>
  <c r="CI24" i="1" s="1"/>
  <c r="CH27" i="1" l="1"/>
  <c r="CI26" i="1"/>
  <c r="CK22" i="1"/>
  <c r="CJ20" i="1"/>
  <c r="CJ24" i="1" s="1"/>
  <c r="CI27" i="1" l="1"/>
  <c r="CJ26" i="1"/>
  <c r="CL22" i="1"/>
  <c r="CK20" i="1"/>
  <c r="CK24" i="1" s="1"/>
  <c r="CJ27" i="1" l="1"/>
  <c r="CK26" i="1"/>
  <c r="CM22" i="1"/>
  <c r="CL20" i="1"/>
  <c r="CL24" i="1" s="1"/>
  <c r="CK27" i="1" l="1"/>
  <c r="CL26" i="1"/>
  <c r="CN22" i="1"/>
  <c r="CM20" i="1"/>
  <c r="CM24" i="1" s="1"/>
  <c r="CL27" i="1" l="1"/>
  <c r="CM26" i="1"/>
  <c r="CO22" i="1"/>
  <c r="CN20" i="1"/>
  <c r="CN24" i="1" s="1"/>
  <c r="CM27" i="1" l="1"/>
  <c r="CN26" i="1"/>
  <c r="CP22" i="1"/>
  <c r="CO20" i="1"/>
  <c r="CO24" i="1" s="1"/>
  <c r="CN27" i="1" l="1"/>
  <c r="CO26" i="1"/>
  <c r="CQ22" i="1"/>
  <c r="CP20" i="1"/>
  <c r="CP24" i="1" s="1"/>
  <c r="CO27" i="1" l="1"/>
  <c r="CP26" i="1"/>
  <c r="CR22" i="1"/>
  <c r="CQ20" i="1"/>
  <c r="CQ24" i="1" s="1"/>
  <c r="CP27" i="1" l="1"/>
  <c r="CQ26" i="1"/>
  <c r="CS22" i="1"/>
  <c r="CR20" i="1"/>
  <c r="CR24" i="1" s="1"/>
  <c r="CQ27" i="1" l="1"/>
  <c r="CR26" i="1"/>
  <c r="CT22" i="1"/>
  <c r="CS20" i="1"/>
  <c r="CS24" i="1" s="1"/>
  <c r="CR27" i="1" l="1"/>
  <c r="CS26" i="1"/>
  <c r="CU22" i="1"/>
  <c r="CT20" i="1"/>
  <c r="CT24" i="1" s="1"/>
  <c r="CS27" i="1" l="1"/>
  <c r="CT26" i="1"/>
  <c r="CV22" i="1"/>
  <c r="CU20" i="1"/>
  <c r="CU24" i="1" s="1"/>
  <c r="CT27" i="1" l="1"/>
  <c r="CU26" i="1"/>
  <c r="CW22" i="1"/>
  <c r="CV20" i="1"/>
  <c r="CV24" i="1" s="1"/>
  <c r="CU27" i="1" l="1"/>
  <c r="CV26" i="1"/>
  <c r="CX22" i="1"/>
  <c r="CW20" i="1"/>
  <c r="CW24" i="1" s="1"/>
  <c r="CV27" i="1" l="1"/>
  <c r="CW26" i="1"/>
  <c r="CY22" i="1"/>
  <c r="CX20" i="1"/>
  <c r="CX24" i="1" s="1"/>
  <c r="CW27" i="1" l="1"/>
  <c r="CX26" i="1"/>
  <c r="CZ22" i="1"/>
  <c r="CY20" i="1"/>
  <c r="CY24" i="1" s="1"/>
  <c r="CX27" i="1" l="1"/>
  <c r="CY26" i="1"/>
  <c r="DA22" i="1"/>
  <c r="CZ20" i="1"/>
  <c r="CZ24" i="1" s="1"/>
  <c r="CY27" i="1" l="1"/>
  <c r="CZ26" i="1"/>
  <c r="DB22" i="1"/>
  <c r="DA20" i="1"/>
  <c r="DA24" i="1" s="1"/>
  <c r="CZ27" i="1" l="1"/>
  <c r="DA26" i="1"/>
  <c r="DC22" i="1"/>
  <c r="DB20" i="1"/>
  <c r="DB24" i="1" s="1"/>
  <c r="DA27" i="1" l="1"/>
  <c r="DB26" i="1"/>
  <c r="DD22" i="1"/>
  <c r="DC20" i="1"/>
  <c r="DC24" i="1" s="1"/>
  <c r="DB27" i="1" l="1"/>
  <c r="DC26" i="1"/>
  <c r="DE22" i="1"/>
  <c r="DD20" i="1"/>
  <c r="DD24" i="1" s="1"/>
  <c r="DC27" i="1" l="1"/>
  <c r="DD26" i="1"/>
  <c r="DF22" i="1"/>
  <c r="DE20" i="1"/>
  <c r="DE24" i="1" s="1"/>
  <c r="DD27" i="1" l="1"/>
  <c r="DE26" i="1"/>
  <c r="DG22" i="1"/>
  <c r="DF20" i="1"/>
  <c r="DF24" i="1" s="1"/>
  <c r="DE27" i="1" l="1"/>
  <c r="DF26" i="1"/>
  <c r="DH22" i="1"/>
  <c r="DG20" i="1"/>
  <c r="DG24" i="1" s="1"/>
  <c r="DF27" i="1" l="1"/>
  <c r="DG26" i="1"/>
  <c r="DI22" i="1"/>
  <c r="DH20" i="1"/>
  <c r="DH24" i="1" s="1"/>
  <c r="DG27" i="1" l="1"/>
  <c r="DH26" i="1"/>
  <c r="DJ22" i="1"/>
  <c r="DI20" i="1"/>
  <c r="DI24" i="1" s="1"/>
  <c r="DH27" i="1" l="1"/>
  <c r="DI26" i="1"/>
  <c r="DK22" i="1"/>
  <c r="DJ20" i="1"/>
  <c r="DJ24" i="1" s="1"/>
  <c r="DI27" i="1" l="1"/>
  <c r="DJ26" i="1"/>
  <c r="DL22" i="1"/>
  <c r="DK20" i="1"/>
  <c r="DK24" i="1" s="1"/>
  <c r="DJ27" i="1" l="1"/>
  <c r="DK26" i="1"/>
  <c r="DM22" i="1"/>
  <c r="DL20" i="1"/>
  <c r="DL24" i="1" s="1"/>
  <c r="DK27" i="1" l="1"/>
  <c r="DL26" i="1"/>
  <c r="DN22" i="1"/>
  <c r="DM20" i="1"/>
  <c r="DM24" i="1" s="1"/>
  <c r="DL27" i="1" l="1"/>
  <c r="DM26" i="1"/>
  <c r="DO22" i="1"/>
  <c r="DN20" i="1"/>
  <c r="DN24" i="1" s="1"/>
  <c r="DM27" i="1" l="1"/>
  <c r="DN26" i="1"/>
  <c r="DP22" i="1"/>
  <c r="DO20" i="1"/>
  <c r="DO24" i="1" s="1"/>
  <c r="DN27" i="1" l="1"/>
  <c r="DO26" i="1"/>
  <c r="DQ22" i="1"/>
  <c r="DP20" i="1"/>
  <c r="DP24" i="1" s="1"/>
  <c r="DQ20" i="1" l="1"/>
  <c r="DQ24" i="1" s="1"/>
  <c r="DQ26" i="1" s="1"/>
  <c r="DO27" i="1"/>
  <c r="DP26" i="1"/>
  <c r="DP27" i="1" l="1"/>
  <c r="DQ27" i="1"/>
  <c r="B29" i="1" s="1"/>
  <c r="B31" i="1" l="1"/>
  <c r="B33" i="1" s="1"/>
  <c r="B40" i="1" s="1"/>
  <c r="C31" i="1"/>
  <c r="C33" i="1" s="1"/>
  <c r="C40" i="1" s="1"/>
  <c r="G31" i="1"/>
  <c r="G33" i="1" s="1"/>
  <c r="G40" i="1" s="1"/>
  <c r="K31" i="1"/>
  <c r="K33" i="1" s="1"/>
  <c r="K40" i="1" s="1"/>
  <c r="O31" i="1"/>
  <c r="O33" i="1" s="1"/>
  <c r="O40" i="1" s="1"/>
  <c r="S31" i="1"/>
  <c r="S33" i="1" s="1"/>
  <c r="S40" i="1" s="1"/>
  <c r="W31" i="1"/>
  <c r="W33" i="1" s="1"/>
  <c r="W40" i="1" s="1"/>
  <c r="AA31" i="1"/>
  <c r="AA33" i="1" s="1"/>
  <c r="AA40" i="1" s="1"/>
  <c r="AE31" i="1"/>
  <c r="AE33" i="1" s="1"/>
  <c r="AE40" i="1" s="1"/>
  <c r="AI31" i="1"/>
  <c r="AI33" i="1" s="1"/>
  <c r="AI40" i="1" s="1"/>
  <c r="AM31" i="1"/>
  <c r="AM33" i="1" s="1"/>
  <c r="AM40" i="1" s="1"/>
  <c r="AQ31" i="1"/>
  <c r="AQ33" i="1" s="1"/>
  <c r="AQ40" i="1" s="1"/>
  <c r="AU31" i="1"/>
  <c r="AU33" i="1" s="1"/>
  <c r="AU40" i="1" s="1"/>
  <c r="AY31" i="1"/>
  <c r="AY33" i="1" s="1"/>
  <c r="AY40" i="1" s="1"/>
  <c r="BC31" i="1"/>
  <c r="BC33" i="1" s="1"/>
  <c r="BC40" i="1" s="1"/>
  <c r="BG31" i="1"/>
  <c r="BG33" i="1" s="1"/>
  <c r="BG40" i="1" s="1"/>
  <c r="BK31" i="1"/>
  <c r="BK33" i="1" s="1"/>
  <c r="BK40" i="1" s="1"/>
  <c r="BO31" i="1"/>
  <c r="BO33" i="1" s="1"/>
  <c r="BO40" i="1" s="1"/>
  <c r="BS31" i="1"/>
  <c r="BS33" i="1" s="1"/>
  <c r="BS40" i="1" s="1"/>
  <c r="BW31" i="1"/>
  <c r="BW33" i="1" s="1"/>
  <c r="BW40" i="1" s="1"/>
  <c r="CA31" i="1"/>
  <c r="CA33" i="1" s="1"/>
  <c r="CA40" i="1" s="1"/>
  <c r="CE31" i="1"/>
  <c r="CE33" i="1" s="1"/>
  <c r="CE40" i="1" s="1"/>
  <c r="CI31" i="1"/>
  <c r="CI33" i="1" s="1"/>
  <c r="CI40" i="1" s="1"/>
  <c r="CM31" i="1"/>
  <c r="CM33" i="1" s="1"/>
  <c r="CM40" i="1" s="1"/>
  <c r="CQ31" i="1"/>
  <c r="CQ33" i="1" s="1"/>
  <c r="CQ40" i="1" s="1"/>
  <c r="CU31" i="1"/>
  <c r="CU33" i="1" s="1"/>
  <c r="CU40" i="1" s="1"/>
  <c r="CY31" i="1"/>
  <c r="CY33" i="1" s="1"/>
  <c r="CY40" i="1" s="1"/>
  <c r="DC31" i="1"/>
  <c r="DC33" i="1" s="1"/>
  <c r="DC40" i="1" s="1"/>
  <c r="DG31" i="1"/>
  <c r="DG33" i="1" s="1"/>
  <c r="DG40" i="1" s="1"/>
  <c r="DK31" i="1"/>
  <c r="DK33" i="1" s="1"/>
  <c r="DK40" i="1" s="1"/>
  <c r="DO31" i="1"/>
  <c r="DO33" i="1" s="1"/>
  <c r="DO40" i="1" s="1"/>
  <c r="H31" i="1"/>
  <c r="H33" i="1" s="1"/>
  <c r="H40" i="1" s="1"/>
  <c r="L31" i="1"/>
  <c r="L33" i="1" s="1"/>
  <c r="L40" i="1" s="1"/>
  <c r="P31" i="1"/>
  <c r="P33" i="1" s="1"/>
  <c r="P40" i="1" s="1"/>
  <c r="T31" i="1"/>
  <c r="T33" i="1" s="1"/>
  <c r="T40" i="1" s="1"/>
  <c r="X31" i="1"/>
  <c r="X33" i="1" s="1"/>
  <c r="X40" i="1" s="1"/>
  <c r="AB31" i="1"/>
  <c r="AB33" i="1" s="1"/>
  <c r="AB40" i="1" s="1"/>
  <c r="AF31" i="1"/>
  <c r="AF33" i="1" s="1"/>
  <c r="AF40" i="1" s="1"/>
  <c r="AJ31" i="1"/>
  <c r="AJ33" i="1" s="1"/>
  <c r="AJ40" i="1" s="1"/>
  <c r="AR31" i="1"/>
  <c r="AR33" i="1" s="1"/>
  <c r="AR40" i="1" s="1"/>
  <c r="AV31" i="1"/>
  <c r="AV33" i="1" s="1"/>
  <c r="AV40" i="1" s="1"/>
  <c r="AZ31" i="1"/>
  <c r="AZ33" i="1" s="1"/>
  <c r="AZ40" i="1" s="1"/>
  <c r="BH31" i="1"/>
  <c r="BH33" i="1" s="1"/>
  <c r="BH40" i="1" s="1"/>
  <c r="BL31" i="1"/>
  <c r="BL33" i="1" s="1"/>
  <c r="BL40" i="1" s="1"/>
  <c r="BT31" i="1"/>
  <c r="BT33" i="1" s="1"/>
  <c r="BT40" i="1" s="1"/>
  <c r="CB31" i="1"/>
  <c r="CB33" i="1" s="1"/>
  <c r="CB40" i="1" s="1"/>
  <c r="CF31" i="1"/>
  <c r="CF33" i="1" s="1"/>
  <c r="CF40" i="1" s="1"/>
  <c r="CN31" i="1"/>
  <c r="CN33" i="1" s="1"/>
  <c r="CN40" i="1" s="1"/>
  <c r="CR31" i="1"/>
  <c r="CR33" i="1" s="1"/>
  <c r="CR40" i="1" s="1"/>
  <c r="CZ31" i="1"/>
  <c r="CZ33" i="1" s="1"/>
  <c r="CZ40" i="1" s="1"/>
  <c r="DH31" i="1"/>
  <c r="DH33" i="1" s="1"/>
  <c r="DH40" i="1" s="1"/>
  <c r="DP31" i="1"/>
  <c r="DP33" i="1" s="1"/>
  <c r="DP40" i="1" s="1"/>
  <c r="DB31" i="1"/>
  <c r="DB33" i="1" s="1"/>
  <c r="DB40" i="1" s="1"/>
  <c r="DJ31" i="1"/>
  <c r="DJ33" i="1" s="1"/>
  <c r="DJ40" i="1" s="1"/>
  <c r="D31" i="1"/>
  <c r="D33" i="1" s="1"/>
  <c r="D40" i="1" s="1"/>
  <c r="AN31" i="1"/>
  <c r="AN33" i="1" s="1"/>
  <c r="AN40" i="1" s="1"/>
  <c r="BD31" i="1"/>
  <c r="BD33" i="1" s="1"/>
  <c r="BD40" i="1" s="1"/>
  <c r="BP31" i="1"/>
  <c r="BP33" i="1" s="1"/>
  <c r="BP40" i="1" s="1"/>
  <c r="BX31" i="1"/>
  <c r="BX33" i="1" s="1"/>
  <c r="BX40" i="1" s="1"/>
  <c r="CJ31" i="1"/>
  <c r="CJ33" i="1" s="1"/>
  <c r="CJ40" i="1" s="1"/>
  <c r="CV31" i="1"/>
  <c r="CV33" i="1" s="1"/>
  <c r="CV40" i="1" s="1"/>
  <c r="DD31" i="1"/>
  <c r="DD33" i="1" s="1"/>
  <c r="DD40" i="1" s="1"/>
  <c r="DL31" i="1"/>
  <c r="DL33" i="1" s="1"/>
  <c r="DL40" i="1" s="1"/>
  <c r="DN31" i="1"/>
  <c r="DN33" i="1" s="1"/>
  <c r="DN40" i="1" s="1"/>
  <c r="E31" i="1"/>
  <c r="E33" i="1" s="1"/>
  <c r="E40" i="1" s="1"/>
  <c r="I31" i="1"/>
  <c r="I33" i="1" s="1"/>
  <c r="I40" i="1" s="1"/>
  <c r="M31" i="1"/>
  <c r="M33" i="1" s="1"/>
  <c r="M40" i="1" s="1"/>
  <c r="Q31" i="1"/>
  <c r="Q33" i="1" s="1"/>
  <c r="Q40" i="1" s="1"/>
  <c r="U31" i="1"/>
  <c r="U33" i="1" s="1"/>
  <c r="U40" i="1" s="1"/>
  <c r="Y31" i="1"/>
  <c r="Y33" i="1" s="1"/>
  <c r="Y40" i="1" s="1"/>
  <c r="AC31" i="1"/>
  <c r="AC33" i="1" s="1"/>
  <c r="AC40" i="1" s="1"/>
  <c r="AG31" i="1"/>
  <c r="AG33" i="1" s="1"/>
  <c r="AG40" i="1" s="1"/>
  <c r="AK31" i="1"/>
  <c r="AK33" i="1" s="1"/>
  <c r="AK40" i="1" s="1"/>
  <c r="AO31" i="1"/>
  <c r="AO33" i="1" s="1"/>
  <c r="AO40" i="1" s="1"/>
  <c r="AS31" i="1"/>
  <c r="AS33" i="1" s="1"/>
  <c r="AS40" i="1" s="1"/>
  <c r="AW31" i="1"/>
  <c r="AW33" i="1" s="1"/>
  <c r="AW40" i="1" s="1"/>
  <c r="BA31" i="1"/>
  <c r="BA33" i="1" s="1"/>
  <c r="BA40" i="1" s="1"/>
  <c r="BE31" i="1"/>
  <c r="BE33" i="1" s="1"/>
  <c r="BE40" i="1" s="1"/>
  <c r="BI31" i="1"/>
  <c r="BI33" i="1" s="1"/>
  <c r="BI40" i="1" s="1"/>
  <c r="BM31" i="1"/>
  <c r="BM33" i="1" s="1"/>
  <c r="BM40" i="1" s="1"/>
  <c r="BQ31" i="1"/>
  <c r="BQ33" i="1" s="1"/>
  <c r="BQ40" i="1" s="1"/>
  <c r="BU31" i="1"/>
  <c r="BU33" i="1" s="1"/>
  <c r="BU40" i="1" s="1"/>
  <c r="BY31" i="1"/>
  <c r="BY33" i="1" s="1"/>
  <c r="BY40" i="1" s="1"/>
  <c r="CC31" i="1"/>
  <c r="CC33" i="1" s="1"/>
  <c r="CC40" i="1" s="1"/>
  <c r="CG31" i="1"/>
  <c r="CG33" i="1" s="1"/>
  <c r="CG40" i="1" s="1"/>
  <c r="CK31" i="1"/>
  <c r="CK33" i="1" s="1"/>
  <c r="CK40" i="1" s="1"/>
  <c r="CO31" i="1"/>
  <c r="CO33" i="1" s="1"/>
  <c r="CO40" i="1" s="1"/>
  <c r="CS31" i="1"/>
  <c r="CS33" i="1" s="1"/>
  <c r="CS40" i="1" s="1"/>
  <c r="CW31" i="1"/>
  <c r="CW33" i="1" s="1"/>
  <c r="CW40" i="1" s="1"/>
  <c r="DA31" i="1"/>
  <c r="DA33" i="1" s="1"/>
  <c r="DA40" i="1" s="1"/>
  <c r="DE31" i="1"/>
  <c r="DE33" i="1" s="1"/>
  <c r="DE40" i="1" s="1"/>
  <c r="DI31" i="1"/>
  <c r="DI33" i="1" s="1"/>
  <c r="DI40" i="1" s="1"/>
  <c r="DM31" i="1"/>
  <c r="DM33" i="1" s="1"/>
  <c r="DM40" i="1" s="1"/>
  <c r="DQ31" i="1"/>
  <c r="DQ33" i="1" s="1"/>
  <c r="DQ40" i="1" s="1"/>
  <c r="F31" i="1"/>
  <c r="F33" i="1" s="1"/>
  <c r="F40" i="1" s="1"/>
  <c r="J31" i="1"/>
  <c r="J33" i="1" s="1"/>
  <c r="J40" i="1" s="1"/>
  <c r="N31" i="1"/>
  <c r="N33" i="1" s="1"/>
  <c r="N40" i="1" s="1"/>
  <c r="R31" i="1"/>
  <c r="R33" i="1" s="1"/>
  <c r="R40" i="1" s="1"/>
  <c r="V31" i="1"/>
  <c r="V33" i="1" s="1"/>
  <c r="V40" i="1" s="1"/>
  <c r="Z31" i="1"/>
  <c r="Z33" i="1" s="1"/>
  <c r="Z40" i="1" s="1"/>
  <c r="AD31" i="1"/>
  <c r="AD33" i="1" s="1"/>
  <c r="AD40" i="1" s="1"/>
  <c r="AH31" i="1"/>
  <c r="AH33" i="1" s="1"/>
  <c r="AH40" i="1" s="1"/>
  <c r="AL31" i="1"/>
  <c r="AL33" i="1" s="1"/>
  <c r="AL40" i="1" s="1"/>
  <c r="AP31" i="1"/>
  <c r="AP33" i="1" s="1"/>
  <c r="AP40" i="1" s="1"/>
  <c r="AT31" i="1"/>
  <c r="AT33" i="1" s="1"/>
  <c r="AT40" i="1" s="1"/>
  <c r="AX31" i="1"/>
  <c r="AX33" i="1" s="1"/>
  <c r="AX40" i="1" s="1"/>
  <c r="BB31" i="1"/>
  <c r="BB33" i="1" s="1"/>
  <c r="BB40" i="1" s="1"/>
  <c r="BF31" i="1"/>
  <c r="BF33" i="1" s="1"/>
  <c r="BF40" i="1" s="1"/>
  <c r="BJ31" i="1"/>
  <c r="BJ33" i="1" s="1"/>
  <c r="BJ40" i="1" s="1"/>
  <c r="BN31" i="1"/>
  <c r="BN33" i="1" s="1"/>
  <c r="BN40" i="1" s="1"/>
  <c r="BR31" i="1"/>
  <c r="BR33" i="1" s="1"/>
  <c r="BR40" i="1" s="1"/>
  <c r="BV31" i="1"/>
  <c r="BV33" i="1" s="1"/>
  <c r="BV40" i="1" s="1"/>
  <c r="BZ31" i="1"/>
  <c r="BZ33" i="1" s="1"/>
  <c r="BZ40" i="1" s="1"/>
  <c r="CD31" i="1"/>
  <c r="CD33" i="1" s="1"/>
  <c r="CD40" i="1" s="1"/>
  <c r="CH31" i="1"/>
  <c r="CH33" i="1" s="1"/>
  <c r="CH40" i="1" s="1"/>
  <c r="CL31" i="1"/>
  <c r="CL33" i="1" s="1"/>
  <c r="CL40" i="1" s="1"/>
  <c r="CP31" i="1"/>
  <c r="CP33" i="1" s="1"/>
  <c r="CP40" i="1" s="1"/>
  <c r="CT31" i="1"/>
  <c r="CT33" i="1" s="1"/>
  <c r="CT40" i="1" s="1"/>
  <c r="CX31" i="1"/>
  <c r="CX33" i="1" s="1"/>
  <c r="CX40" i="1" s="1"/>
  <c r="DF31" i="1"/>
  <c r="DF33" i="1" s="1"/>
  <c r="DF40" i="1" s="1"/>
  <c r="B42" i="1" l="1"/>
  <c r="B35" i="1"/>
  <c r="B37" i="1" s="1"/>
</calcChain>
</file>

<file path=xl/sharedStrings.xml><?xml version="1.0" encoding="utf-8"?>
<sst xmlns="http://schemas.openxmlformats.org/spreadsheetml/2006/main" count="30" uniqueCount="26">
  <si>
    <t>Número de pagos por año  =</t>
  </si>
  <si>
    <t>Flujo de Caja</t>
  </si>
  <si>
    <t>Duración de Macaulay =</t>
  </si>
  <si>
    <t>Convexidad =</t>
  </si>
  <si>
    <t>Factor Descuento</t>
  </si>
  <si>
    <t>Valor Presente</t>
  </si>
  <si>
    <t>Valor Facial =</t>
  </si>
  <si>
    <t>Cupón Anual =</t>
  </si>
  <si>
    <t>Plazo a la madurez (Años) =</t>
  </si>
  <si>
    <t>TIR anual</t>
  </si>
  <si>
    <t>TIR nominal anual Semestre Vencido</t>
  </si>
  <si>
    <t>TIR nominal anual Trimestre Vencido</t>
  </si>
  <si>
    <t>Sí</t>
  </si>
  <si>
    <t>No</t>
  </si>
  <si>
    <t>Tiempo al pago del fujo</t>
  </si>
  <si>
    <t>Duración Modificada =</t>
  </si>
  <si>
    <r>
      <rPr>
        <sz val="12"/>
        <rFont val="Libertinus Math"/>
        <family val="3"/>
      </rPr>
      <t>Σ</t>
    </r>
    <r>
      <rPr>
        <sz val="11"/>
        <rFont val="Aptos"/>
        <family val="2"/>
      </rPr>
      <t xml:space="preserve"> </t>
    </r>
    <r>
      <rPr>
        <sz val="12"/>
        <rFont val="Libertinus Sans"/>
        <family val="3"/>
      </rPr>
      <t>VP</t>
    </r>
    <r>
      <rPr>
        <sz val="11"/>
        <rFont val="Aptos"/>
        <family val="2"/>
      </rPr>
      <t xml:space="preserve"> =</t>
    </r>
  </si>
  <si>
    <t>Términos en que se da la TIR</t>
  </si>
  <si>
    <t>Efectivo Anual</t>
  </si>
  <si>
    <t>Nominal Anual Trimestre Vencido</t>
  </si>
  <si>
    <t>Nominal Anual Semestre Vencido</t>
  </si>
  <si>
    <t>TIR nominal anual Mes Vencido</t>
  </si>
  <si>
    <t>Nominal Anual Mes Vencido</t>
  </si>
  <si>
    <t>Peso del flujo en el precio =</t>
  </si>
  <si>
    <t>Nominal Anual</t>
  </si>
  <si>
    <t>⛔&lt;=== Esta celda NO se toca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</si>
</sst>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&quot;$&quot;\ #,##0;[Red]&quot;$&quot;\ \-#,##0"/>
    <numFmt numFmtId="165" formatCode="0.000000"/>
    <numFmt numFmtId="166" formatCode="0.0000"/>
    <numFmt numFmtId="167" formatCode="0.00\ &quot;años&quot;"/>
    <numFmt numFmtId="168" formatCode="#,##0.0000"/>
    <numFmt numFmtId="169" formatCode="0.0000%"/>
    <numFmt numFmtId="170" formatCode="0.000"/>
  </numFmts>
  <fonts count="18" x14ac:knownFonts="1">
    <font>
      <sz val="10"/>
      <name val="Arial"/>
    </font>
    <font>
      <sz val="11"/>
      <color theme="1"/>
      <name val="Aptos"/>
      <family val="2"/>
    </font>
    <font>
      <sz val="10"/>
      <name val="Arial"/>
      <family val="2"/>
    </font>
    <font>
      <sz val="10"/>
      <color theme="9" tint="-0.499984740745262"/>
      <name val="Stencil"/>
      <family val="5"/>
    </font>
    <font>
      <b/>
      <sz val="11"/>
      <color theme="0"/>
      <name val="Aptos"/>
      <family val="2"/>
    </font>
    <font>
      <sz val="11"/>
      <color theme="0"/>
      <name val="Aptos"/>
      <family val="2"/>
    </font>
    <font>
      <sz val="12"/>
      <name val="Libertinus Math"/>
      <family val="3"/>
    </font>
    <font>
      <sz val="10"/>
      <name val="Aptos"/>
      <family val="2"/>
    </font>
    <font>
      <sz val="12"/>
      <name val="Aptos"/>
      <family val="2"/>
    </font>
    <font>
      <sz val="10"/>
      <color theme="9" tint="-0.499984740745262"/>
      <name val="Aptos"/>
      <family val="2"/>
    </font>
    <font>
      <sz val="11"/>
      <name val="Aptos"/>
      <family val="2"/>
    </font>
    <font>
      <b/>
      <sz val="11"/>
      <name val="Aptos"/>
      <family val="2"/>
    </font>
    <font>
      <b/>
      <sz val="11"/>
      <color indexed="9"/>
      <name val="Aptos"/>
      <family val="2"/>
    </font>
    <font>
      <sz val="10"/>
      <color theme="9" tint="-0.499984740745262"/>
      <name val="Lucida Console"/>
      <family val="3"/>
    </font>
    <font>
      <sz val="11"/>
      <name val="Aptos"/>
      <family val="3"/>
    </font>
    <font>
      <sz val="12"/>
      <name val="Libertinus Sans"/>
      <family val="3"/>
    </font>
    <font>
      <sz val="12"/>
      <color theme="0"/>
      <name val="Aptos"/>
      <family val="2"/>
    </font>
    <font>
      <sz val="11"/>
      <color rgb="FFFF0000"/>
      <name val="Aptos"/>
      <family val="2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DDA24"/>
        <bgColor indexed="64"/>
      </patternFill>
    </fill>
    <fill>
      <patternFill patternType="solid">
        <fgColor rgb="FFFEEFA4"/>
        <bgColor indexed="64"/>
      </patternFill>
    </fill>
    <fill>
      <patternFill patternType="solid">
        <fgColor rgb="FFB3DEFF"/>
        <bgColor indexed="64"/>
      </patternFill>
    </fill>
    <fill>
      <patternFill patternType="solid">
        <fgColor rgb="FFDCB80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theme="1"/>
      </left>
      <right style="medium">
        <color rgb="FF0070C0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rgb="FF0070C0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/>
    <xf numFmtId="165" fontId="7" fillId="0" borderId="0" xfId="0" applyNumberFormat="1" applyFont="1"/>
    <xf numFmtId="166" fontId="7" fillId="0" borderId="0" xfId="0" applyNumberFormat="1" applyFont="1"/>
    <xf numFmtId="0" fontId="10" fillId="0" borderId="0" xfId="0" applyFont="1"/>
    <xf numFmtId="167" fontId="10" fillId="0" borderId="0" xfId="0" applyNumberFormat="1" applyFont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0" fontId="11" fillId="0" borderId="0" xfId="0" applyFont="1"/>
    <xf numFmtId="0" fontId="12" fillId="3" borderId="2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 vertical="center"/>
    </xf>
    <xf numFmtId="0" fontId="13" fillId="0" borderId="0" xfId="0" applyFont="1"/>
    <xf numFmtId="4" fontId="10" fillId="0" borderId="2" xfId="0" applyNumberFormat="1" applyFont="1" applyBorder="1" applyAlignment="1">
      <alignment horizontal="center" vertical="center"/>
    </xf>
    <xf numFmtId="4" fontId="10" fillId="0" borderId="3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167" fontId="10" fillId="0" borderId="3" xfId="0" applyNumberFormat="1" applyFont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168" fontId="10" fillId="0" borderId="2" xfId="0" applyNumberFormat="1" applyFont="1" applyBorder="1" applyAlignment="1">
      <alignment horizontal="center" vertical="center"/>
    </xf>
    <xf numFmtId="168" fontId="10" fillId="0" borderId="3" xfId="0" applyNumberFormat="1" applyFont="1" applyBorder="1" applyAlignment="1">
      <alignment horizontal="center" vertical="center"/>
    </xf>
    <xf numFmtId="4" fontId="10" fillId="0" borderId="2" xfId="1" applyNumberFormat="1" applyFont="1" applyBorder="1" applyAlignment="1">
      <alignment horizontal="center"/>
    </xf>
    <xf numFmtId="4" fontId="10" fillId="0" borderId="3" xfId="1" applyNumberFormat="1" applyFont="1" applyBorder="1" applyAlignment="1">
      <alignment horizontal="center"/>
    </xf>
    <xf numFmtId="0" fontId="10" fillId="9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/>
    </xf>
    <xf numFmtId="0" fontId="10" fillId="6" borderId="1" xfId="0" applyFont="1" applyFill="1" applyBorder="1" applyAlignment="1">
      <alignment vertical="center"/>
    </xf>
    <xf numFmtId="0" fontId="16" fillId="4" borderId="5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5" fontId="7" fillId="0" borderId="0" xfId="0" applyNumberFormat="1" applyFont="1"/>
    <xf numFmtId="168" fontId="10" fillId="0" borderId="0" xfId="0" applyNumberFormat="1" applyFont="1" applyAlignment="1">
      <alignment horizontal="center" vertical="center"/>
    </xf>
    <xf numFmtId="0" fontId="5" fillId="8" borderId="2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4" fillId="8" borderId="6" xfId="0" applyFont="1" applyFill="1" applyBorder="1" applyAlignment="1">
      <alignment vertical="center"/>
    </xf>
    <xf numFmtId="4" fontId="10" fillId="11" borderId="6" xfId="0" applyNumberFormat="1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vertical="center" wrapText="1"/>
    </xf>
    <xf numFmtId="4" fontId="10" fillId="10" borderId="6" xfId="0" applyNumberFormat="1" applyFont="1" applyFill="1" applyBorder="1" applyAlignment="1">
      <alignment horizontal="center" vertical="center" wrapText="1"/>
    </xf>
    <xf numFmtId="0" fontId="11" fillId="12" borderId="6" xfId="0" applyFont="1" applyFill="1" applyBorder="1"/>
    <xf numFmtId="0" fontId="14" fillId="17" borderId="6" xfId="0" applyFont="1" applyFill="1" applyBorder="1"/>
    <xf numFmtId="170" fontId="10" fillId="18" borderId="6" xfId="0" applyNumberFormat="1" applyFont="1" applyFill="1" applyBorder="1" applyAlignment="1">
      <alignment horizontal="center" vertical="center"/>
    </xf>
    <xf numFmtId="0" fontId="10" fillId="19" borderId="6" xfId="0" applyFont="1" applyFill="1" applyBorder="1"/>
    <xf numFmtId="0" fontId="8" fillId="9" borderId="6" xfId="0" applyFont="1" applyFill="1" applyBorder="1" applyAlignment="1">
      <alignment vertical="center"/>
    </xf>
    <xf numFmtId="2" fontId="8" fillId="10" borderId="6" xfId="0" applyNumberFormat="1" applyFont="1" applyFill="1" applyBorder="1" applyAlignment="1">
      <alignment horizontal="center" vertical="center" wrapText="1"/>
    </xf>
    <xf numFmtId="0" fontId="8" fillId="13" borderId="6" xfId="0" applyFont="1" applyFill="1" applyBorder="1" applyAlignment="1">
      <alignment horizontal="left" vertical="center" wrapText="1"/>
    </xf>
    <xf numFmtId="169" fontId="8" fillId="14" borderId="6" xfId="1" applyNumberFormat="1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vertical="center" wrapText="1"/>
    </xf>
    <xf numFmtId="10" fontId="8" fillId="10" borderId="6" xfId="1" applyNumberFormat="1" applyFont="1" applyFill="1" applyBorder="1" applyAlignment="1">
      <alignment horizontal="center" vertical="center" wrapText="1"/>
    </xf>
    <xf numFmtId="164" fontId="8" fillId="10" borderId="6" xfId="0" applyNumberFormat="1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vertical="center"/>
    </xf>
    <xf numFmtId="0" fontId="7" fillId="5" borderId="8" xfId="0" applyFont="1" applyFill="1" applyBorder="1"/>
    <xf numFmtId="0" fontId="7" fillId="5" borderId="9" xfId="0" applyFont="1" applyFill="1" applyBorder="1"/>
    <xf numFmtId="0" fontId="16" fillId="15" borderId="6" xfId="0" applyFont="1" applyFill="1" applyBorder="1" applyAlignment="1">
      <alignment vertical="center"/>
    </xf>
    <xf numFmtId="169" fontId="8" fillId="16" borderId="6" xfId="0" applyNumberFormat="1" applyFont="1" applyFill="1" applyBorder="1" applyAlignment="1">
      <alignment horizontal="center" vertical="center"/>
    </xf>
    <xf numFmtId="2" fontId="7" fillId="0" borderId="0" xfId="0" applyNumberFormat="1" applyFont="1"/>
  </cellXfs>
  <cellStyles count="2">
    <cellStyle name="Normal" xfId="0" builtinId="0"/>
    <cellStyle name="Percent" xfId="1" builtinId="5"/>
  </cellStyles>
  <dxfs count="22"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</border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numFmt numFmtId="171" formatCode="&quot;Semestre&quot;\ 0"/>
    </dxf>
    <dxf>
      <numFmt numFmtId="172" formatCode="&quot;Año&quot;\ 0"/>
    </dxf>
    <dxf>
      <numFmt numFmtId="173" formatCode="&quot;Trimestre&quot;\ 0"/>
    </dxf>
  </dxfs>
  <tableStyles count="1" defaultTableStyle="TableStyleMedium2" defaultPivotStyle="PivotStyleLight16">
    <tableStyle name="Invisible" pivot="0" table="0" count="0" xr9:uid="{34CF669F-E786-413A-90D6-2CE8C52E32DB}"/>
  </tableStyles>
  <colors>
    <mruColors>
      <color rgb="FFFDDA24"/>
      <color rgb="FFFEEFA4"/>
      <color rgb="FFDCB802"/>
      <color rgb="FFB3D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137"/>
  <sheetViews>
    <sheetView tabSelected="1" zoomScaleNormal="100" workbookViewId="0">
      <selection activeCell="D5" sqref="D5"/>
    </sheetView>
  </sheetViews>
  <sheetFormatPr defaultColWidth="8.6640625" defaultRowHeight="13.8" x14ac:dyDescent="0.3"/>
  <cols>
    <col min="1" max="1" width="47" style="2" customWidth="1"/>
    <col min="2" max="2" width="31.44140625" style="2" customWidth="1"/>
    <col min="3" max="3" width="14.44140625" style="2" customWidth="1"/>
    <col min="4" max="4" width="15.44140625" style="2" customWidth="1"/>
    <col min="5" max="5" width="13.5546875" style="2" customWidth="1"/>
    <col min="6" max="6" width="12.77734375" style="2" customWidth="1"/>
    <col min="7" max="7" width="12.33203125" style="2" customWidth="1"/>
    <col min="8" max="9" width="12.21875" style="2" customWidth="1"/>
    <col min="10" max="10" width="11.33203125" style="2" bestFit="1" customWidth="1"/>
    <col min="11" max="100" width="12.44140625" style="2" bestFit="1" customWidth="1"/>
    <col min="101" max="121" width="13.6640625" style="2" bestFit="1" customWidth="1"/>
    <col min="122" max="200" width="11.44140625" style="2" customWidth="1"/>
    <col min="201" max="16384" width="8.6640625" style="2"/>
  </cols>
  <sheetData>
    <row r="2" spans="1:8" ht="15.6" x14ac:dyDescent="0.3">
      <c r="A2" s="41" t="s">
        <v>6</v>
      </c>
      <c r="B2" s="48">
        <v>100</v>
      </c>
    </row>
    <row r="3" spans="1:8" ht="15.6" x14ac:dyDescent="0.3">
      <c r="A3" s="3"/>
      <c r="B3" s="3"/>
    </row>
    <row r="4" spans="1:8" ht="15.6" x14ac:dyDescent="0.3">
      <c r="A4" s="41" t="s">
        <v>7</v>
      </c>
      <c r="B4" s="47">
        <v>0.1</v>
      </c>
      <c r="E4" s="29"/>
    </row>
    <row r="5" spans="1:8" ht="15.6" x14ac:dyDescent="0.3">
      <c r="A5" s="3"/>
      <c r="B5" s="3"/>
      <c r="E5" s="29"/>
    </row>
    <row r="6" spans="1:8" ht="15.6" x14ac:dyDescent="0.3">
      <c r="A6" s="46" t="s">
        <v>0</v>
      </c>
      <c r="B6" s="45">
        <v>1</v>
      </c>
    </row>
    <row r="7" spans="1:8" ht="15.6" x14ac:dyDescent="0.3">
      <c r="A7" s="3"/>
      <c r="B7" s="3"/>
      <c r="G7" s="6"/>
    </row>
    <row r="8" spans="1:8" ht="15.6" x14ac:dyDescent="0.3">
      <c r="A8" s="41" t="s">
        <v>17</v>
      </c>
      <c r="B8" s="45" t="s">
        <v>24</v>
      </c>
      <c r="C8" s="27" t="str">
        <f>"&lt;=== Ingrese si es nominal o efectiva anual"</f>
        <v>&lt;=== Ingrese si es nominal o efectiva anual</v>
      </c>
      <c r="G8" s="54"/>
    </row>
    <row r="9" spans="1:8" ht="15.6" x14ac:dyDescent="0.3">
      <c r="A9" s="3"/>
      <c r="B9" s="3"/>
    </row>
    <row r="10" spans="1:8" ht="15.6" x14ac:dyDescent="0.3">
      <c r="A10" s="52" t="str">
        <f>IF(B8="Efectivo Anual","TIR efectiva anual",VLOOKUP(B6,A118:B121,2))</f>
        <v>TIR anual</v>
      </c>
      <c r="B10" s="53">
        <v>0.12</v>
      </c>
      <c r="C10" s="28" t="str">
        <f>"&lt;=== Ingrese el valor de la TIR"</f>
        <v>&lt;=== Ingrese el valor de la TIR</v>
      </c>
      <c r="G10" s="6"/>
    </row>
    <row r="11" spans="1:8" ht="15.6" x14ac:dyDescent="0.3">
      <c r="A11" s="3"/>
      <c r="B11" s="3"/>
    </row>
    <row r="12" spans="1:8" ht="15.6" x14ac:dyDescent="0.3">
      <c r="A12" s="43" t="str">
        <f>IF(B8="Efectivo Anual","Equivalente "&amp;VLOOKUP(B6,A118:B121,2)&amp;"",""&amp;VLOOKUP(B6,A118:B121,2)&amp;" utilizada para los cálculos")</f>
        <v>TIR anual utilizada para los cálculos</v>
      </c>
      <c r="B12" s="44">
        <f>IF(B8="Efectivo Anual",B6*((1+B10)^(1/B6)-1),B10)</f>
        <v>0.12</v>
      </c>
      <c r="C12" s="32" t="s">
        <v>25</v>
      </c>
    </row>
    <row r="13" spans="1:8" ht="15.6" x14ac:dyDescent="0.3">
      <c r="A13" s="3"/>
      <c r="B13" s="3"/>
      <c r="G13" s="54"/>
    </row>
    <row r="14" spans="1:8" ht="15.6" x14ac:dyDescent="0.3">
      <c r="A14" s="41" t="s">
        <v>8</v>
      </c>
      <c r="B14" s="42">
        <v>10</v>
      </c>
    </row>
    <row r="15" spans="1:8" ht="14.4" thickBot="1" x14ac:dyDescent="0.35"/>
    <row r="16" spans="1:8" ht="16.2" thickBot="1" x14ac:dyDescent="0.35">
      <c r="A16" s="26" t="str">
        <f>IF(B6=4, "Plazo al próximo cupón es un trimestre exacto?",IF(B6=2,"Plazo al próximo cupón es un semestre exacto?",IF(B6=12, "Plazo al próximo cupón es un mes exacto?","Plazo al próximo cupón es un año exacto?")) )</f>
        <v>Plazo al próximo cupón es un año exacto?</v>
      </c>
      <c r="B16" s="18" t="s">
        <v>13</v>
      </c>
      <c r="D16" s="49" t="str">
        <f>IF(B16="Sí","Fraccion de año al próximo pago de cupón es "&amp;1/B6 &amp;"","Fracción de año al próximo pago de cupón:::&gt;")</f>
        <v>Fracción de año al próximo pago de cupón:::&gt;</v>
      </c>
      <c r="E16" s="50"/>
      <c r="F16" s="50"/>
      <c r="G16" s="51"/>
      <c r="H16" s="9">
        <v>0.25</v>
      </c>
    </row>
    <row r="17" spans="1:185" ht="14.4" thickBot="1" x14ac:dyDescent="0.35"/>
    <row r="18" spans="1:185" s="7" customFormat="1" ht="15" thickBot="1" x14ac:dyDescent="0.35">
      <c r="B18" s="12">
        <v>1</v>
      </c>
      <c r="C18" s="12">
        <v>2</v>
      </c>
      <c r="D18" s="12">
        <v>3</v>
      </c>
      <c r="E18" s="12">
        <v>4</v>
      </c>
      <c r="F18" s="12">
        <v>5</v>
      </c>
      <c r="G18" s="12">
        <v>6</v>
      </c>
      <c r="H18" s="12">
        <v>7</v>
      </c>
      <c r="I18" s="11">
        <v>8</v>
      </c>
      <c r="J18" s="12">
        <v>9</v>
      </c>
      <c r="K18" s="12">
        <v>10</v>
      </c>
      <c r="L18" s="12">
        <v>11</v>
      </c>
      <c r="M18" s="12">
        <v>12</v>
      </c>
      <c r="N18" s="12">
        <v>13</v>
      </c>
      <c r="O18" s="12">
        <v>14</v>
      </c>
      <c r="P18" s="12">
        <v>15</v>
      </c>
      <c r="Q18" s="12">
        <v>16</v>
      </c>
      <c r="R18" s="12">
        <v>17</v>
      </c>
      <c r="S18" s="12">
        <v>18</v>
      </c>
      <c r="T18" s="12">
        <v>19</v>
      </c>
      <c r="U18" s="12">
        <v>20</v>
      </c>
      <c r="V18" s="12">
        <v>21</v>
      </c>
      <c r="W18" s="12">
        <v>22</v>
      </c>
      <c r="X18" s="12">
        <v>23</v>
      </c>
      <c r="Y18" s="12">
        <v>24</v>
      </c>
      <c r="Z18" s="12">
        <v>25</v>
      </c>
      <c r="AA18" s="12">
        <v>26</v>
      </c>
      <c r="AB18" s="12">
        <v>27</v>
      </c>
      <c r="AC18" s="12">
        <v>28</v>
      </c>
      <c r="AD18" s="12">
        <v>29</v>
      </c>
      <c r="AE18" s="11">
        <v>30</v>
      </c>
      <c r="AF18" s="11">
        <v>31</v>
      </c>
      <c r="AG18" s="11">
        <v>32</v>
      </c>
      <c r="AH18" s="11">
        <v>33</v>
      </c>
      <c r="AI18" s="11">
        <v>34</v>
      </c>
      <c r="AJ18" s="11">
        <v>35</v>
      </c>
      <c r="AK18" s="11">
        <v>36</v>
      </c>
      <c r="AL18" s="11">
        <v>37</v>
      </c>
      <c r="AM18" s="11">
        <v>38</v>
      </c>
      <c r="AN18" s="11">
        <v>39</v>
      </c>
      <c r="AO18" s="11">
        <v>40</v>
      </c>
      <c r="AP18" s="11">
        <v>41</v>
      </c>
      <c r="AQ18" s="11">
        <v>42</v>
      </c>
      <c r="AR18" s="11">
        <v>43</v>
      </c>
      <c r="AS18" s="11">
        <v>44</v>
      </c>
      <c r="AT18" s="11">
        <v>45</v>
      </c>
      <c r="AU18" s="11">
        <v>46</v>
      </c>
      <c r="AV18" s="11">
        <v>47</v>
      </c>
      <c r="AW18" s="11">
        <v>48</v>
      </c>
      <c r="AX18" s="11">
        <v>49</v>
      </c>
      <c r="AY18" s="11">
        <v>50</v>
      </c>
      <c r="AZ18" s="11">
        <v>51</v>
      </c>
      <c r="BA18" s="11">
        <v>52</v>
      </c>
      <c r="BB18" s="11">
        <v>53</v>
      </c>
      <c r="BC18" s="11">
        <v>54</v>
      </c>
      <c r="BD18" s="11">
        <v>55</v>
      </c>
      <c r="BE18" s="11">
        <v>56</v>
      </c>
      <c r="BF18" s="11">
        <v>57</v>
      </c>
      <c r="BG18" s="11">
        <v>58</v>
      </c>
      <c r="BH18" s="11">
        <v>59</v>
      </c>
      <c r="BI18" s="11">
        <v>60</v>
      </c>
      <c r="BJ18" s="11">
        <v>61</v>
      </c>
      <c r="BK18" s="11">
        <v>62</v>
      </c>
      <c r="BL18" s="11">
        <v>63</v>
      </c>
      <c r="BM18" s="11">
        <v>64</v>
      </c>
      <c r="BN18" s="11">
        <v>65</v>
      </c>
      <c r="BO18" s="11">
        <v>66</v>
      </c>
      <c r="BP18" s="11">
        <v>67</v>
      </c>
      <c r="BQ18" s="11">
        <v>68</v>
      </c>
      <c r="BR18" s="11">
        <v>69</v>
      </c>
      <c r="BS18" s="11">
        <v>70</v>
      </c>
      <c r="BT18" s="11">
        <v>71</v>
      </c>
      <c r="BU18" s="11">
        <v>72</v>
      </c>
      <c r="BV18" s="11">
        <v>73</v>
      </c>
      <c r="BW18" s="11">
        <v>74</v>
      </c>
      <c r="BX18" s="11">
        <v>75</v>
      </c>
      <c r="BY18" s="11">
        <v>76</v>
      </c>
      <c r="BZ18" s="11">
        <v>77</v>
      </c>
      <c r="CA18" s="11">
        <v>78</v>
      </c>
      <c r="CB18" s="11">
        <v>79</v>
      </c>
      <c r="CC18" s="11">
        <v>80</v>
      </c>
      <c r="CD18" s="11">
        <v>81</v>
      </c>
      <c r="CE18" s="11">
        <v>82</v>
      </c>
      <c r="CF18" s="11">
        <v>83</v>
      </c>
      <c r="CG18" s="11">
        <v>84</v>
      </c>
      <c r="CH18" s="11">
        <v>85</v>
      </c>
      <c r="CI18" s="11">
        <v>86</v>
      </c>
      <c r="CJ18" s="11">
        <v>87</v>
      </c>
      <c r="CK18" s="11">
        <v>88</v>
      </c>
      <c r="CL18" s="11">
        <v>89</v>
      </c>
      <c r="CM18" s="11">
        <v>90</v>
      </c>
      <c r="CN18" s="11">
        <v>91</v>
      </c>
      <c r="CO18" s="11">
        <v>92</v>
      </c>
      <c r="CP18" s="11">
        <v>93</v>
      </c>
      <c r="CQ18" s="11">
        <v>94</v>
      </c>
      <c r="CR18" s="11">
        <v>95</v>
      </c>
      <c r="CS18" s="11">
        <v>96</v>
      </c>
      <c r="CT18" s="11">
        <v>97</v>
      </c>
      <c r="CU18" s="11">
        <v>98</v>
      </c>
      <c r="CV18" s="11">
        <v>99</v>
      </c>
      <c r="CW18" s="11">
        <v>100</v>
      </c>
      <c r="CX18" s="11">
        <v>101</v>
      </c>
      <c r="CY18" s="11">
        <v>102</v>
      </c>
      <c r="CZ18" s="11">
        <v>103</v>
      </c>
      <c r="DA18" s="11">
        <v>104</v>
      </c>
      <c r="DB18" s="11">
        <v>105</v>
      </c>
      <c r="DC18" s="11">
        <v>106</v>
      </c>
      <c r="DD18" s="11">
        <v>107</v>
      </c>
      <c r="DE18" s="11">
        <v>108</v>
      </c>
      <c r="DF18" s="11">
        <v>109</v>
      </c>
      <c r="DG18" s="11">
        <v>110</v>
      </c>
      <c r="DH18" s="11">
        <v>111</v>
      </c>
      <c r="DI18" s="11">
        <v>112</v>
      </c>
      <c r="DJ18" s="11">
        <v>113</v>
      </c>
      <c r="DK18" s="11">
        <v>114</v>
      </c>
      <c r="DL18" s="11">
        <v>115</v>
      </c>
      <c r="DM18" s="11">
        <v>116</v>
      </c>
      <c r="DN18" s="11">
        <v>117</v>
      </c>
      <c r="DO18" s="11">
        <v>118</v>
      </c>
      <c r="DP18" s="11">
        <v>119</v>
      </c>
      <c r="DQ18" s="11">
        <v>120</v>
      </c>
    </row>
    <row r="19" spans="1:185" ht="7.2" customHeight="1" thickBot="1" x14ac:dyDescent="0.35"/>
    <row r="20" spans="1:185" s="7" customFormat="1" ht="15" thickBot="1" x14ac:dyDescent="0.35">
      <c r="A20" s="24" t="s">
        <v>1</v>
      </c>
      <c r="B20" s="21">
        <f t="shared" ref="B20:AG20" si="0">IF(B22="","",IF($B$14*$B$6&gt;B18,$B$4*$B$2/$B$6,IF($B$14*$B$6=B18,$B$4*$B$2/$B$6+$B$2,0)))</f>
        <v>10</v>
      </c>
      <c r="C20" s="22">
        <f t="shared" si="0"/>
        <v>10</v>
      </c>
      <c r="D20" s="22">
        <f t="shared" si="0"/>
        <v>10</v>
      </c>
      <c r="E20" s="22">
        <f t="shared" si="0"/>
        <v>10</v>
      </c>
      <c r="F20" s="22">
        <f t="shared" si="0"/>
        <v>10</v>
      </c>
      <c r="G20" s="22">
        <f t="shared" si="0"/>
        <v>10</v>
      </c>
      <c r="H20" s="22">
        <f t="shared" si="0"/>
        <v>10</v>
      </c>
      <c r="I20" s="22">
        <f t="shared" si="0"/>
        <v>10</v>
      </c>
      <c r="J20" s="22">
        <f t="shared" si="0"/>
        <v>10</v>
      </c>
      <c r="K20" s="22">
        <f t="shared" si="0"/>
        <v>110</v>
      </c>
      <c r="L20" s="22" t="str">
        <f t="shared" si="0"/>
        <v/>
      </c>
      <c r="M20" s="22" t="str">
        <f t="shared" si="0"/>
        <v/>
      </c>
      <c r="N20" s="22" t="str">
        <f t="shared" si="0"/>
        <v/>
      </c>
      <c r="O20" s="22" t="str">
        <f t="shared" si="0"/>
        <v/>
      </c>
      <c r="P20" s="22" t="str">
        <f t="shared" si="0"/>
        <v/>
      </c>
      <c r="Q20" s="22" t="str">
        <f t="shared" si="0"/>
        <v/>
      </c>
      <c r="R20" s="22" t="str">
        <f t="shared" si="0"/>
        <v/>
      </c>
      <c r="S20" s="22" t="str">
        <f t="shared" si="0"/>
        <v/>
      </c>
      <c r="T20" s="22" t="str">
        <f t="shared" si="0"/>
        <v/>
      </c>
      <c r="U20" s="22" t="str">
        <f t="shared" si="0"/>
        <v/>
      </c>
      <c r="V20" s="22" t="str">
        <f t="shared" si="0"/>
        <v/>
      </c>
      <c r="W20" s="22" t="str">
        <f t="shared" si="0"/>
        <v/>
      </c>
      <c r="X20" s="22" t="str">
        <f t="shared" si="0"/>
        <v/>
      </c>
      <c r="Y20" s="22" t="str">
        <f t="shared" si="0"/>
        <v/>
      </c>
      <c r="Z20" s="22" t="str">
        <f t="shared" si="0"/>
        <v/>
      </c>
      <c r="AA20" s="22" t="str">
        <f t="shared" si="0"/>
        <v/>
      </c>
      <c r="AB20" s="22" t="str">
        <f t="shared" si="0"/>
        <v/>
      </c>
      <c r="AC20" s="22" t="str">
        <f t="shared" si="0"/>
        <v/>
      </c>
      <c r="AD20" s="22" t="str">
        <f t="shared" si="0"/>
        <v/>
      </c>
      <c r="AE20" s="22" t="str">
        <f t="shared" si="0"/>
        <v/>
      </c>
      <c r="AF20" s="22" t="str">
        <f t="shared" si="0"/>
        <v/>
      </c>
      <c r="AG20" s="22" t="str">
        <f t="shared" si="0"/>
        <v/>
      </c>
      <c r="AH20" s="22" t="str">
        <f t="shared" ref="AH20:BM20" si="1">IF(AH22="","",IF($B$14*$B$6&gt;AH18,$B$4*$B$2/$B$6,IF($B$14*$B$6=AH18,$B$4*$B$2/$B$6+$B$2,0)))</f>
        <v/>
      </c>
      <c r="AI20" s="22" t="str">
        <f t="shared" si="1"/>
        <v/>
      </c>
      <c r="AJ20" s="22" t="str">
        <f t="shared" si="1"/>
        <v/>
      </c>
      <c r="AK20" s="22" t="str">
        <f t="shared" si="1"/>
        <v/>
      </c>
      <c r="AL20" s="22" t="str">
        <f t="shared" si="1"/>
        <v/>
      </c>
      <c r="AM20" s="22" t="str">
        <f t="shared" si="1"/>
        <v/>
      </c>
      <c r="AN20" s="22" t="str">
        <f t="shared" si="1"/>
        <v/>
      </c>
      <c r="AO20" s="22" t="str">
        <f t="shared" si="1"/>
        <v/>
      </c>
      <c r="AP20" s="22" t="str">
        <f t="shared" si="1"/>
        <v/>
      </c>
      <c r="AQ20" s="22" t="str">
        <f t="shared" si="1"/>
        <v/>
      </c>
      <c r="AR20" s="22" t="str">
        <f t="shared" si="1"/>
        <v/>
      </c>
      <c r="AS20" s="22" t="str">
        <f t="shared" si="1"/>
        <v/>
      </c>
      <c r="AT20" s="22" t="str">
        <f t="shared" si="1"/>
        <v/>
      </c>
      <c r="AU20" s="22" t="str">
        <f t="shared" si="1"/>
        <v/>
      </c>
      <c r="AV20" s="22" t="str">
        <f t="shared" si="1"/>
        <v/>
      </c>
      <c r="AW20" s="22" t="str">
        <f t="shared" si="1"/>
        <v/>
      </c>
      <c r="AX20" s="22" t="str">
        <f t="shared" si="1"/>
        <v/>
      </c>
      <c r="AY20" s="22" t="str">
        <f t="shared" si="1"/>
        <v/>
      </c>
      <c r="AZ20" s="22" t="str">
        <f t="shared" si="1"/>
        <v/>
      </c>
      <c r="BA20" s="22" t="str">
        <f t="shared" si="1"/>
        <v/>
      </c>
      <c r="BB20" s="22" t="str">
        <f t="shared" si="1"/>
        <v/>
      </c>
      <c r="BC20" s="22" t="str">
        <f t="shared" si="1"/>
        <v/>
      </c>
      <c r="BD20" s="22" t="str">
        <f t="shared" si="1"/>
        <v/>
      </c>
      <c r="BE20" s="22" t="str">
        <f t="shared" si="1"/>
        <v/>
      </c>
      <c r="BF20" s="22" t="str">
        <f t="shared" si="1"/>
        <v/>
      </c>
      <c r="BG20" s="22" t="str">
        <f t="shared" si="1"/>
        <v/>
      </c>
      <c r="BH20" s="22" t="str">
        <f t="shared" si="1"/>
        <v/>
      </c>
      <c r="BI20" s="22" t="str">
        <f t="shared" si="1"/>
        <v/>
      </c>
      <c r="BJ20" s="22" t="str">
        <f t="shared" si="1"/>
        <v/>
      </c>
      <c r="BK20" s="22" t="str">
        <f t="shared" si="1"/>
        <v/>
      </c>
      <c r="BL20" s="22" t="str">
        <f t="shared" si="1"/>
        <v/>
      </c>
      <c r="BM20" s="22" t="str">
        <f t="shared" si="1"/>
        <v/>
      </c>
      <c r="BN20" s="22" t="str">
        <f t="shared" ref="BN20:CS20" si="2">IF(BN22="","",IF($B$14*$B$6&gt;BN18,$B$4*$B$2/$B$6,IF($B$14*$B$6=BN18,$B$4*$B$2/$B$6+$B$2,0)))</f>
        <v/>
      </c>
      <c r="BO20" s="22" t="str">
        <f t="shared" si="2"/>
        <v/>
      </c>
      <c r="BP20" s="22" t="str">
        <f t="shared" si="2"/>
        <v/>
      </c>
      <c r="BQ20" s="22" t="str">
        <f t="shared" si="2"/>
        <v/>
      </c>
      <c r="BR20" s="22" t="str">
        <f t="shared" si="2"/>
        <v/>
      </c>
      <c r="BS20" s="22" t="str">
        <f t="shared" si="2"/>
        <v/>
      </c>
      <c r="BT20" s="22" t="str">
        <f t="shared" si="2"/>
        <v/>
      </c>
      <c r="BU20" s="22" t="str">
        <f t="shared" si="2"/>
        <v/>
      </c>
      <c r="BV20" s="22" t="str">
        <f t="shared" si="2"/>
        <v/>
      </c>
      <c r="BW20" s="22" t="str">
        <f t="shared" si="2"/>
        <v/>
      </c>
      <c r="BX20" s="22" t="str">
        <f t="shared" si="2"/>
        <v/>
      </c>
      <c r="BY20" s="22" t="str">
        <f t="shared" si="2"/>
        <v/>
      </c>
      <c r="BZ20" s="22" t="str">
        <f t="shared" si="2"/>
        <v/>
      </c>
      <c r="CA20" s="22" t="str">
        <f t="shared" si="2"/>
        <v/>
      </c>
      <c r="CB20" s="22" t="str">
        <f t="shared" si="2"/>
        <v/>
      </c>
      <c r="CC20" s="22" t="str">
        <f t="shared" si="2"/>
        <v/>
      </c>
      <c r="CD20" s="22" t="str">
        <f t="shared" si="2"/>
        <v/>
      </c>
      <c r="CE20" s="22" t="str">
        <f t="shared" si="2"/>
        <v/>
      </c>
      <c r="CF20" s="22" t="str">
        <f t="shared" si="2"/>
        <v/>
      </c>
      <c r="CG20" s="22" t="str">
        <f t="shared" si="2"/>
        <v/>
      </c>
      <c r="CH20" s="22" t="str">
        <f t="shared" si="2"/>
        <v/>
      </c>
      <c r="CI20" s="22" t="str">
        <f t="shared" si="2"/>
        <v/>
      </c>
      <c r="CJ20" s="22" t="str">
        <f t="shared" si="2"/>
        <v/>
      </c>
      <c r="CK20" s="22" t="str">
        <f t="shared" si="2"/>
        <v/>
      </c>
      <c r="CL20" s="22" t="str">
        <f t="shared" si="2"/>
        <v/>
      </c>
      <c r="CM20" s="22" t="str">
        <f t="shared" si="2"/>
        <v/>
      </c>
      <c r="CN20" s="22" t="str">
        <f t="shared" si="2"/>
        <v/>
      </c>
      <c r="CO20" s="22" t="str">
        <f t="shared" si="2"/>
        <v/>
      </c>
      <c r="CP20" s="22" t="str">
        <f t="shared" si="2"/>
        <v/>
      </c>
      <c r="CQ20" s="22" t="str">
        <f t="shared" si="2"/>
        <v/>
      </c>
      <c r="CR20" s="22" t="str">
        <f t="shared" si="2"/>
        <v/>
      </c>
      <c r="CS20" s="22" t="str">
        <f t="shared" si="2"/>
        <v/>
      </c>
      <c r="CT20" s="22" t="str">
        <f t="shared" ref="CT20:DQ20" si="3">IF(CT22="","",IF($B$14*$B$6&gt;CT18,$B$4*$B$2/$B$6,IF($B$14*$B$6=CT18,$B$4*$B$2/$B$6+$B$2,0)))</f>
        <v/>
      </c>
      <c r="CU20" s="22" t="str">
        <f t="shared" si="3"/>
        <v/>
      </c>
      <c r="CV20" s="22" t="str">
        <f t="shared" si="3"/>
        <v/>
      </c>
      <c r="CW20" s="22" t="str">
        <f t="shared" si="3"/>
        <v/>
      </c>
      <c r="CX20" s="22" t="str">
        <f t="shared" si="3"/>
        <v/>
      </c>
      <c r="CY20" s="22" t="str">
        <f t="shared" si="3"/>
        <v/>
      </c>
      <c r="CZ20" s="22" t="str">
        <f t="shared" si="3"/>
        <v/>
      </c>
      <c r="DA20" s="22" t="str">
        <f t="shared" si="3"/>
        <v/>
      </c>
      <c r="DB20" s="22" t="str">
        <f t="shared" si="3"/>
        <v/>
      </c>
      <c r="DC20" s="22" t="str">
        <f t="shared" si="3"/>
        <v/>
      </c>
      <c r="DD20" s="22" t="str">
        <f t="shared" si="3"/>
        <v/>
      </c>
      <c r="DE20" s="22" t="str">
        <f t="shared" si="3"/>
        <v/>
      </c>
      <c r="DF20" s="22" t="str">
        <f t="shared" si="3"/>
        <v/>
      </c>
      <c r="DG20" s="22" t="str">
        <f t="shared" si="3"/>
        <v/>
      </c>
      <c r="DH20" s="22" t="str">
        <f t="shared" si="3"/>
        <v/>
      </c>
      <c r="DI20" s="22" t="str">
        <f t="shared" si="3"/>
        <v/>
      </c>
      <c r="DJ20" s="22" t="str">
        <f t="shared" si="3"/>
        <v/>
      </c>
      <c r="DK20" s="22" t="str">
        <f t="shared" si="3"/>
        <v/>
      </c>
      <c r="DL20" s="22" t="str">
        <f t="shared" si="3"/>
        <v/>
      </c>
      <c r="DM20" s="22" t="str">
        <f t="shared" si="3"/>
        <v/>
      </c>
      <c r="DN20" s="22" t="str">
        <f t="shared" si="3"/>
        <v/>
      </c>
      <c r="DO20" s="22" t="str">
        <f t="shared" si="3"/>
        <v/>
      </c>
      <c r="DP20" s="22" t="str">
        <f t="shared" si="3"/>
        <v/>
      </c>
      <c r="DQ20" s="22" t="str">
        <f t="shared" si="3"/>
        <v/>
      </c>
    </row>
    <row r="21" spans="1:185" ht="14.4" thickBot="1" x14ac:dyDescent="0.35"/>
    <row r="22" spans="1:185" s="7" customFormat="1" ht="15" thickBot="1" x14ac:dyDescent="0.35">
      <c r="A22" s="25" t="s">
        <v>14</v>
      </c>
      <c r="B22" s="16">
        <f>IF(B16="No",H16,1/B6)</f>
        <v>0.25</v>
      </c>
      <c r="C22" s="17">
        <f t="shared" ref="C22:AH22" si="4">IFERROR(IF(B22+1/$B$6&gt;$B$14,"",B22+1/$B$6),"")</f>
        <v>1.25</v>
      </c>
      <c r="D22" s="17">
        <f t="shared" si="4"/>
        <v>2.25</v>
      </c>
      <c r="E22" s="17">
        <f t="shared" si="4"/>
        <v>3.25</v>
      </c>
      <c r="F22" s="17">
        <f t="shared" si="4"/>
        <v>4.25</v>
      </c>
      <c r="G22" s="17">
        <f t="shared" si="4"/>
        <v>5.25</v>
      </c>
      <c r="H22" s="17">
        <f t="shared" si="4"/>
        <v>6.25</v>
      </c>
      <c r="I22" s="17">
        <f t="shared" si="4"/>
        <v>7.25</v>
      </c>
      <c r="J22" s="17">
        <f t="shared" si="4"/>
        <v>8.25</v>
      </c>
      <c r="K22" s="17">
        <f t="shared" si="4"/>
        <v>9.25</v>
      </c>
      <c r="L22" s="17" t="str">
        <f t="shared" si="4"/>
        <v/>
      </c>
      <c r="M22" s="17" t="str">
        <f t="shared" si="4"/>
        <v/>
      </c>
      <c r="N22" s="17" t="str">
        <f t="shared" si="4"/>
        <v/>
      </c>
      <c r="O22" s="17" t="str">
        <f t="shared" si="4"/>
        <v/>
      </c>
      <c r="P22" s="17" t="str">
        <f t="shared" si="4"/>
        <v/>
      </c>
      <c r="Q22" s="17" t="str">
        <f t="shared" si="4"/>
        <v/>
      </c>
      <c r="R22" s="17" t="str">
        <f t="shared" si="4"/>
        <v/>
      </c>
      <c r="S22" s="17" t="str">
        <f t="shared" si="4"/>
        <v/>
      </c>
      <c r="T22" s="17" t="str">
        <f t="shared" si="4"/>
        <v/>
      </c>
      <c r="U22" s="17" t="str">
        <f t="shared" si="4"/>
        <v/>
      </c>
      <c r="V22" s="17" t="str">
        <f t="shared" si="4"/>
        <v/>
      </c>
      <c r="W22" s="17" t="str">
        <f t="shared" si="4"/>
        <v/>
      </c>
      <c r="X22" s="17" t="str">
        <f t="shared" si="4"/>
        <v/>
      </c>
      <c r="Y22" s="17" t="str">
        <f t="shared" si="4"/>
        <v/>
      </c>
      <c r="Z22" s="17" t="str">
        <f t="shared" si="4"/>
        <v/>
      </c>
      <c r="AA22" s="17" t="str">
        <f t="shared" si="4"/>
        <v/>
      </c>
      <c r="AB22" s="17" t="str">
        <f t="shared" si="4"/>
        <v/>
      </c>
      <c r="AC22" s="17" t="str">
        <f t="shared" si="4"/>
        <v/>
      </c>
      <c r="AD22" s="17" t="str">
        <f t="shared" si="4"/>
        <v/>
      </c>
      <c r="AE22" s="17" t="str">
        <f t="shared" si="4"/>
        <v/>
      </c>
      <c r="AF22" s="17" t="str">
        <f t="shared" si="4"/>
        <v/>
      </c>
      <c r="AG22" s="17" t="str">
        <f t="shared" si="4"/>
        <v/>
      </c>
      <c r="AH22" s="17" t="str">
        <f t="shared" si="4"/>
        <v/>
      </c>
      <c r="AI22" s="17" t="str">
        <f t="shared" ref="AI22:BN22" si="5">IFERROR(IF(AH22+1/$B$6&gt;$B$14,"",AH22+1/$B$6),"")</f>
        <v/>
      </c>
      <c r="AJ22" s="17" t="str">
        <f t="shared" si="5"/>
        <v/>
      </c>
      <c r="AK22" s="17" t="str">
        <f t="shared" si="5"/>
        <v/>
      </c>
      <c r="AL22" s="17" t="str">
        <f t="shared" si="5"/>
        <v/>
      </c>
      <c r="AM22" s="17" t="str">
        <f t="shared" si="5"/>
        <v/>
      </c>
      <c r="AN22" s="17" t="str">
        <f t="shared" si="5"/>
        <v/>
      </c>
      <c r="AO22" s="17" t="str">
        <f t="shared" si="5"/>
        <v/>
      </c>
      <c r="AP22" s="17" t="str">
        <f t="shared" si="5"/>
        <v/>
      </c>
      <c r="AQ22" s="17" t="str">
        <f t="shared" si="5"/>
        <v/>
      </c>
      <c r="AR22" s="17" t="str">
        <f t="shared" si="5"/>
        <v/>
      </c>
      <c r="AS22" s="17" t="str">
        <f t="shared" si="5"/>
        <v/>
      </c>
      <c r="AT22" s="17" t="str">
        <f t="shared" si="5"/>
        <v/>
      </c>
      <c r="AU22" s="17" t="str">
        <f t="shared" si="5"/>
        <v/>
      </c>
      <c r="AV22" s="17" t="str">
        <f t="shared" si="5"/>
        <v/>
      </c>
      <c r="AW22" s="17" t="str">
        <f t="shared" si="5"/>
        <v/>
      </c>
      <c r="AX22" s="17" t="str">
        <f t="shared" si="5"/>
        <v/>
      </c>
      <c r="AY22" s="17" t="str">
        <f t="shared" si="5"/>
        <v/>
      </c>
      <c r="AZ22" s="17" t="str">
        <f t="shared" si="5"/>
        <v/>
      </c>
      <c r="BA22" s="17" t="str">
        <f t="shared" si="5"/>
        <v/>
      </c>
      <c r="BB22" s="17" t="str">
        <f t="shared" si="5"/>
        <v/>
      </c>
      <c r="BC22" s="17" t="str">
        <f t="shared" si="5"/>
        <v/>
      </c>
      <c r="BD22" s="17" t="str">
        <f t="shared" si="5"/>
        <v/>
      </c>
      <c r="BE22" s="17" t="str">
        <f t="shared" si="5"/>
        <v/>
      </c>
      <c r="BF22" s="17" t="str">
        <f t="shared" si="5"/>
        <v/>
      </c>
      <c r="BG22" s="17" t="str">
        <f t="shared" si="5"/>
        <v/>
      </c>
      <c r="BH22" s="17" t="str">
        <f t="shared" si="5"/>
        <v/>
      </c>
      <c r="BI22" s="17" t="str">
        <f t="shared" si="5"/>
        <v/>
      </c>
      <c r="BJ22" s="17" t="str">
        <f t="shared" si="5"/>
        <v/>
      </c>
      <c r="BK22" s="17" t="str">
        <f t="shared" si="5"/>
        <v/>
      </c>
      <c r="BL22" s="17" t="str">
        <f t="shared" si="5"/>
        <v/>
      </c>
      <c r="BM22" s="17" t="str">
        <f t="shared" si="5"/>
        <v/>
      </c>
      <c r="BN22" s="17" t="str">
        <f t="shared" si="5"/>
        <v/>
      </c>
      <c r="BO22" s="17" t="str">
        <f t="shared" ref="BO22:CT22" si="6">IFERROR(IF(BN22+1/$B$6&gt;$B$14,"",BN22+1/$B$6),"")</f>
        <v/>
      </c>
      <c r="BP22" s="17" t="str">
        <f t="shared" si="6"/>
        <v/>
      </c>
      <c r="BQ22" s="17" t="str">
        <f t="shared" si="6"/>
        <v/>
      </c>
      <c r="BR22" s="17" t="str">
        <f t="shared" si="6"/>
        <v/>
      </c>
      <c r="BS22" s="17" t="str">
        <f t="shared" si="6"/>
        <v/>
      </c>
      <c r="BT22" s="17" t="str">
        <f t="shared" si="6"/>
        <v/>
      </c>
      <c r="BU22" s="17" t="str">
        <f t="shared" si="6"/>
        <v/>
      </c>
      <c r="BV22" s="17" t="str">
        <f t="shared" si="6"/>
        <v/>
      </c>
      <c r="BW22" s="17" t="str">
        <f t="shared" si="6"/>
        <v/>
      </c>
      <c r="BX22" s="17" t="str">
        <f t="shared" si="6"/>
        <v/>
      </c>
      <c r="BY22" s="17" t="str">
        <f t="shared" si="6"/>
        <v/>
      </c>
      <c r="BZ22" s="17" t="str">
        <f t="shared" si="6"/>
        <v/>
      </c>
      <c r="CA22" s="17" t="str">
        <f t="shared" si="6"/>
        <v/>
      </c>
      <c r="CB22" s="17" t="str">
        <f t="shared" si="6"/>
        <v/>
      </c>
      <c r="CC22" s="17" t="str">
        <f t="shared" si="6"/>
        <v/>
      </c>
      <c r="CD22" s="17" t="str">
        <f t="shared" si="6"/>
        <v/>
      </c>
      <c r="CE22" s="17" t="str">
        <f t="shared" si="6"/>
        <v/>
      </c>
      <c r="CF22" s="17" t="str">
        <f t="shared" si="6"/>
        <v/>
      </c>
      <c r="CG22" s="17" t="str">
        <f t="shared" si="6"/>
        <v/>
      </c>
      <c r="CH22" s="17" t="str">
        <f t="shared" si="6"/>
        <v/>
      </c>
      <c r="CI22" s="17" t="str">
        <f t="shared" si="6"/>
        <v/>
      </c>
      <c r="CJ22" s="17" t="str">
        <f t="shared" si="6"/>
        <v/>
      </c>
      <c r="CK22" s="17" t="str">
        <f t="shared" si="6"/>
        <v/>
      </c>
      <c r="CL22" s="17" t="str">
        <f t="shared" si="6"/>
        <v/>
      </c>
      <c r="CM22" s="17" t="str">
        <f t="shared" si="6"/>
        <v/>
      </c>
      <c r="CN22" s="17" t="str">
        <f t="shared" si="6"/>
        <v/>
      </c>
      <c r="CO22" s="17" t="str">
        <f t="shared" si="6"/>
        <v/>
      </c>
      <c r="CP22" s="17" t="str">
        <f t="shared" si="6"/>
        <v/>
      </c>
      <c r="CQ22" s="17" t="str">
        <f t="shared" si="6"/>
        <v/>
      </c>
      <c r="CR22" s="17" t="str">
        <f t="shared" si="6"/>
        <v/>
      </c>
      <c r="CS22" s="17" t="str">
        <f t="shared" si="6"/>
        <v/>
      </c>
      <c r="CT22" s="17" t="str">
        <f t="shared" si="6"/>
        <v/>
      </c>
      <c r="CU22" s="17" t="str">
        <f t="shared" ref="CU22:DQ22" si="7">IFERROR(IF(CT22+1/$B$6&gt;$B$14,"",CT22+1/$B$6),"")</f>
        <v/>
      </c>
      <c r="CV22" s="17" t="str">
        <f t="shared" si="7"/>
        <v/>
      </c>
      <c r="CW22" s="17" t="str">
        <f t="shared" si="7"/>
        <v/>
      </c>
      <c r="CX22" s="17" t="str">
        <f t="shared" si="7"/>
        <v/>
      </c>
      <c r="CY22" s="17" t="str">
        <f t="shared" si="7"/>
        <v/>
      </c>
      <c r="CZ22" s="17" t="str">
        <f t="shared" si="7"/>
        <v/>
      </c>
      <c r="DA22" s="17" t="str">
        <f t="shared" si="7"/>
        <v/>
      </c>
      <c r="DB22" s="17" t="str">
        <f t="shared" si="7"/>
        <v/>
      </c>
      <c r="DC22" s="17" t="str">
        <f t="shared" si="7"/>
        <v/>
      </c>
      <c r="DD22" s="17" t="str">
        <f t="shared" si="7"/>
        <v/>
      </c>
      <c r="DE22" s="17" t="str">
        <f t="shared" si="7"/>
        <v/>
      </c>
      <c r="DF22" s="17" t="str">
        <f t="shared" si="7"/>
        <v/>
      </c>
      <c r="DG22" s="17" t="str">
        <f t="shared" si="7"/>
        <v/>
      </c>
      <c r="DH22" s="17" t="str">
        <f t="shared" si="7"/>
        <v/>
      </c>
      <c r="DI22" s="17" t="str">
        <f t="shared" si="7"/>
        <v/>
      </c>
      <c r="DJ22" s="17" t="str">
        <f t="shared" si="7"/>
        <v/>
      </c>
      <c r="DK22" s="17" t="str">
        <f t="shared" si="7"/>
        <v/>
      </c>
      <c r="DL22" s="17" t="str">
        <f t="shared" si="7"/>
        <v/>
      </c>
      <c r="DM22" s="17" t="str">
        <f t="shared" si="7"/>
        <v/>
      </c>
      <c r="DN22" s="17" t="str">
        <f t="shared" si="7"/>
        <v/>
      </c>
      <c r="DO22" s="17" t="str">
        <f t="shared" si="7"/>
        <v/>
      </c>
      <c r="DP22" s="17" t="str">
        <f t="shared" si="7"/>
        <v/>
      </c>
      <c r="DQ22" s="17" t="str">
        <f t="shared" si="7"/>
        <v/>
      </c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</row>
    <row r="23" spans="1:185" ht="14.4" thickBot="1" x14ac:dyDescent="0.35"/>
    <row r="24" spans="1:185" s="7" customFormat="1" ht="15" thickBot="1" x14ac:dyDescent="0.35">
      <c r="A24" s="24" t="s">
        <v>4</v>
      </c>
      <c r="B24" s="19">
        <f>IF(B20="","",1/(1+$B$12/$B$6)^(B22*$B$6))</f>
        <v>0.972065420906982</v>
      </c>
      <c r="C24" s="20">
        <f>IF(C20="","",1/(1+$B$12/$B$6)^(C22*$B$6))</f>
        <v>0.8679155543812338</v>
      </c>
      <c r="D24" s="20">
        <f t="shared" ref="D24:BO24" si="8">IF(D20="","",1/(1+$B$12/$B$6)^(D22*$B$6))</f>
        <v>0.77492460212610159</v>
      </c>
      <c r="E24" s="20">
        <f t="shared" si="8"/>
        <v>0.69189696618401919</v>
      </c>
      <c r="F24" s="20">
        <f t="shared" si="8"/>
        <v>0.61776514837858854</v>
      </c>
      <c r="G24" s="20">
        <f t="shared" si="8"/>
        <v>0.55157602533802541</v>
      </c>
      <c r="H24" s="20">
        <f t="shared" si="8"/>
        <v>0.49247859405180833</v>
      </c>
      <c r="I24" s="20">
        <f t="shared" si="8"/>
        <v>0.43971303040340021</v>
      </c>
      <c r="J24" s="20">
        <f t="shared" si="8"/>
        <v>0.39260092000303592</v>
      </c>
      <c r="K24" s="20">
        <f t="shared" si="8"/>
        <v>0.35053653571699633</v>
      </c>
      <c r="L24" s="20" t="str">
        <f t="shared" si="8"/>
        <v/>
      </c>
      <c r="M24" s="20" t="str">
        <f t="shared" si="8"/>
        <v/>
      </c>
      <c r="N24" s="20" t="str">
        <f t="shared" si="8"/>
        <v/>
      </c>
      <c r="O24" s="20" t="str">
        <f t="shared" si="8"/>
        <v/>
      </c>
      <c r="P24" s="20" t="str">
        <f t="shared" si="8"/>
        <v/>
      </c>
      <c r="Q24" s="20" t="str">
        <f t="shared" si="8"/>
        <v/>
      </c>
      <c r="R24" s="20" t="str">
        <f t="shared" si="8"/>
        <v/>
      </c>
      <c r="S24" s="20" t="str">
        <f t="shared" si="8"/>
        <v/>
      </c>
      <c r="T24" s="20" t="str">
        <f t="shared" si="8"/>
        <v/>
      </c>
      <c r="U24" s="20" t="str">
        <f t="shared" si="8"/>
        <v/>
      </c>
      <c r="V24" s="20" t="str">
        <f t="shared" si="8"/>
        <v/>
      </c>
      <c r="W24" s="20" t="str">
        <f t="shared" si="8"/>
        <v/>
      </c>
      <c r="X24" s="20" t="str">
        <f t="shared" si="8"/>
        <v/>
      </c>
      <c r="Y24" s="20" t="str">
        <f t="shared" si="8"/>
        <v/>
      </c>
      <c r="Z24" s="20" t="str">
        <f t="shared" si="8"/>
        <v/>
      </c>
      <c r="AA24" s="20" t="str">
        <f t="shared" si="8"/>
        <v/>
      </c>
      <c r="AB24" s="20" t="str">
        <f t="shared" si="8"/>
        <v/>
      </c>
      <c r="AC24" s="20" t="str">
        <f t="shared" si="8"/>
        <v/>
      </c>
      <c r="AD24" s="20" t="str">
        <f t="shared" si="8"/>
        <v/>
      </c>
      <c r="AE24" s="20" t="str">
        <f t="shared" si="8"/>
        <v/>
      </c>
      <c r="AF24" s="20" t="str">
        <f t="shared" si="8"/>
        <v/>
      </c>
      <c r="AG24" s="20" t="str">
        <f t="shared" si="8"/>
        <v/>
      </c>
      <c r="AH24" s="20" t="str">
        <f t="shared" si="8"/>
        <v/>
      </c>
      <c r="AI24" s="20" t="str">
        <f t="shared" si="8"/>
        <v/>
      </c>
      <c r="AJ24" s="20" t="str">
        <f t="shared" si="8"/>
        <v/>
      </c>
      <c r="AK24" s="20" t="str">
        <f t="shared" si="8"/>
        <v/>
      </c>
      <c r="AL24" s="20" t="str">
        <f t="shared" si="8"/>
        <v/>
      </c>
      <c r="AM24" s="20" t="str">
        <f t="shared" si="8"/>
        <v/>
      </c>
      <c r="AN24" s="20" t="str">
        <f t="shared" si="8"/>
        <v/>
      </c>
      <c r="AO24" s="20" t="str">
        <f t="shared" si="8"/>
        <v/>
      </c>
      <c r="AP24" s="20" t="str">
        <f t="shared" si="8"/>
        <v/>
      </c>
      <c r="AQ24" s="20" t="str">
        <f t="shared" si="8"/>
        <v/>
      </c>
      <c r="AR24" s="20" t="str">
        <f t="shared" si="8"/>
        <v/>
      </c>
      <c r="AS24" s="20" t="str">
        <f t="shared" si="8"/>
        <v/>
      </c>
      <c r="AT24" s="20" t="str">
        <f t="shared" si="8"/>
        <v/>
      </c>
      <c r="AU24" s="20" t="str">
        <f t="shared" si="8"/>
        <v/>
      </c>
      <c r="AV24" s="20" t="str">
        <f t="shared" si="8"/>
        <v/>
      </c>
      <c r="AW24" s="20" t="str">
        <f t="shared" si="8"/>
        <v/>
      </c>
      <c r="AX24" s="20" t="str">
        <f t="shared" si="8"/>
        <v/>
      </c>
      <c r="AY24" s="20" t="str">
        <f t="shared" si="8"/>
        <v/>
      </c>
      <c r="AZ24" s="20" t="str">
        <f t="shared" si="8"/>
        <v/>
      </c>
      <c r="BA24" s="20" t="str">
        <f t="shared" si="8"/>
        <v/>
      </c>
      <c r="BB24" s="20" t="str">
        <f t="shared" si="8"/>
        <v/>
      </c>
      <c r="BC24" s="20" t="str">
        <f t="shared" si="8"/>
        <v/>
      </c>
      <c r="BD24" s="20" t="str">
        <f t="shared" si="8"/>
        <v/>
      </c>
      <c r="BE24" s="20" t="str">
        <f t="shared" si="8"/>
        <v/>
      </c>
      <c r="BF24" s="20" t="str">
        <f t="shared" si="8"/>
        <v/>
      </c>
      <c r="BG24" s="20" t="str">
        <f t="shared" si="8"/>
        <v/>
      </c>
      <c r="BH24" s="20" t="str">
        <f t="shared" si="8"/>
        <v/>
      </c>
      <c r="BI24" s="20" t="str">
        <f t="shared" si="8"/>
        <v/>
      </c>
      <c r="BJ24" s="20" t="str">
        <f t="shared" si="8"/>
        <v/>
      </c>
      <c r="BK24" s="20" t="str">
        <f t="shared" si="8"/>
        <v/>
      </c>
      <c r="BL24" s="20" t="str">
        <f t="shared" si="8"/>
        <v/>
      </c>
      <c r="BM24" s="20" t="str">
        <f t="shared" si="8"/>
        <v/>
      </c>
      <c r="BN24" s="20" t="str">
        <f t="shared" si="8"/>
        <v/>
      </c>
      <c r="BO24" s="20" t="str">
        <f t="shared" si="8"/>
        <v/>
      </c>
      <c r="BP24" s="20" t="str">
        <f t="shared" ref="BP24:DQ24" si="9">IF(BP20="","",1/(1+$B$12/$B$6)^(BP22*$B$6))</f>
        <v/>
      </c>
      <c r="BQ24" s="20" t="str">
        <f t="shared" si="9"/>
        <v/>
      </c>
      <c r="BR24" s="20" t="str">
        <f t="shared" si="9"/>
        <v/>
      </c>
      <c r="BS24" s="20" t="str">
        <f t="shared" si="9"/>
        <v/>
      </c>
      <c r="BT24" s="20" t="str">
        <f t="shared" si="9"/>
        <v/>
      </c>
      <c r="BU24" s="20" t="str">
        <f t="shared" si="9"/>
        <v/>
      </c>
      <c r="BV24" s="20" t="str">
        <f t="shared" si="9"/>
        <v/>
      </c>
      <c r="BW24" s="20" t="str">
        <f t="shared" si="9"/>
        <v/>
      </c>
      <c r="BX24" s="20" t="str">
        <f t="shared" si="9"/>
        <v/>
      </c>
      <c r="BY24" s="20" t="str">
        <f t="shared" si="9"/>
        <v/>
      </c>
      <c r="BZ24" s="20" t="str">
        <f t="shared" si="9"/>
        <v/>
      </c>
      <c r="CA24" s="20" t="str">
        <f t="shared" si="9"/>
        <v/>
      </c>
      <c r="CB24" s="20" t="str">
        <f t="shared" si="9"/>
        <v/>
      </c>
      <c r="CC24" s="20" t="str">
        <f t="shared" si="9"/>
        <v/>
      </c>
      <c r="CD24" s="20" t="str">
        <f t="shared" si="9"/>
        <v/>
      </c>
      <c r="CE24" s="20" t="str">
        <f t="shared" si="9"/>
        <v/>
      </c>
      <c r="CF24" s="20" t="str">
        <f t="shared" si="9"/>
        <v/>
      </c>
      <c r="CG24" s="20" t="str">
        <f t="shared" si="9"/>
        <v/>
      </c>
      <c r="CH24" s="20" t="str">
        <f t="shared" si="9"/>
        <v/>
      </c>
      <c r="CI24" s="20" t="str">
        <f t="shared" si="9"/>
        <v/>
      </c>
      <c r="CJ24" s="20" t="str">
        <f t="shared" si="9"/>
        <v/>
      </c>
      <c r="CK24" s="20" t="str">
        <f t="shared" si="9"/>
        <v/>
      </c>
      <c r="CL24" s="20" t="str">
        <f t="shared" si="9"/>
        <v/>
      </c>
      <c r="CM24" s="20" t="str">
        <f t="shared" si="9"/>
        <v/>
      </c>
      <c r="CN24" s="20" t="str">
        <f t="shared" si="9"/>
        <v/>
      </c>
      <c r="CO24" s="20" t="str">
        <f t="shared" si="9"/>
        <v/>
      </c>
      <c r="CP24" s="20" t="str">
        <f t="shared" si="9"/>
        <v/>
      </c>
      <c r="CQ24" s="20" t="str">
        <f t="shared" si="9"/>
        <v/>
      </c>
      <c r="CR24" s="20" t="str">
        <f t="shared" si="9"/>
        <v/>
      </c>
      <c r="CS24" s="20" t="str">
        <f t="shared" si="9"/>
        <v/>
      </c>
      <c r="CT24" s="20" t="str">
        <f t="shared" si="9"/>
        <v/>
      </c>
      <c r="CU24" s="20" t="str">
        <f t="shared" si="9"/>
        <v/>
      </c>
      <c r="CV24" s="20" t="str">
        <f t="shared" si="9"/>
        <v/>
      </c>
      <c r="CW24" s="20" t="str">
        <f t="shared" si="9"/>
        <v/>
      </c>
      <c r="CX24" s="20" t="str">
        <f t="shared" si="9"/>
        <v/>
      </c>
      <c r="CY24" s="20" t="str">
        <f t="shared" si="9"/>
        <v/>
      </c>
      <c r="CZ24" s="20" t="str">
        <f t="shared" si="9"/>
        <v/>
      </c>
      <c r="DA24" s="20" t="str">
        <f t="shared" si="9"/>
        <v/>
      </c>
      <c r="DB24" s="20" t="str">
        <f t="shared" si="9"/>
        <v/>
      </c>
      <c r="DC24" s="20" t="str">
        <f t="shared" si="9"/>
        <v/>
      </c>
      <c r="DD24" s="20" t="str">
        <f t="shared" si="9"/>
        <v/>
      </c>
      <c r="DE24" s="20" t="str">
        <f t="shared" si="9"/>
        <v/>
      </c>
      <c r="DF24" s="20" t="str">
        <f t="shared" si="9"/>
        <v/>
      </c>
      <c r="DG24" s="20" t="str">
        <f t="shared" si="9"/>
        <v/>
      </c>
      <c r="DH24" s="20" t="str">
        <f t="shared" si="9"/>
        <v/>
      </c>
      <c r="DI24" s="20" t="str">
        <f t="shared" si="9"/>
        <v/>
      </c>
      <c r="DJ24" s="20" t="str">
        <f t="shared" si="9"/>
        <v/>
      </c>
      <c r="DK24" s="20" t="str">
        <f t="shared" si="9"/>
        <v/>
      </c>
      <c r="DL24" s="20" t="str">
        <f t="shared" si="9"/>
        <v/>
      </c>
      <c r="DM24" s="20" t="str">
        <f t="shared" si="9"/>
        <v/>
      </c>
      <c r="DN24" s="20" t="str">
        <f t="shared" si="9"/>
        <v/>
      </c>
      <c r="DO24" s="20" t="str">
        <f t="shared" si="9"/>
        <v/>
      </c>
      <c r="DP24" s="20" t="str">
        <f t="shared" si="9"/>
        <v/>
      </c>
      <c r="DQ24" s="20" t="str">
        <f t="shared" si="9"/>
        <v/>
      </c>
    </row>
    <row r="25" spans="1:185" ht="14.4" thickBot="1" x14ac:dyDescent="0.35"/>
    <row r="26" spans="1:185" s="7" customFormat="1" ht="15" thickBot="1" x14ac:dyDescent="0.35">
      <c r="A26" s="24" t="s">
        <v>5</v>
      </c>
      <c r="B26" s="14">
        <f>IFERROR(B20*B24,"")</f>
        <v>9.7206542090698207</v>
      </c>
      <c r="C26" s="15">
        <f t="shared" ref="C26:BN26" si="10">IFERROR(C20*C24,"")</f>
        <v>8.6791555438123389</v>
      </c>
      <c r="D26" s="15">
        <f t="shared" si="10"/>
        <v>7.7492460212610155</v>
      </c>
      <c r="E26" s="15">
        <f t="shared" si="10"/>
        <v>6.9189696618401921</v>
      </c>
      <c r="F26" s="15">
        <f t="shared" si="10"/>
        <v>6.1776514837858851</v>
      </c>
      <c r="G26" s="15">
        <f t="shared" si="10"/>
        <v>5.5157602533802539</v>
      </c>
      <c r="H26" s="15">
        <f t="shared" si="10"/>
        <v>4.9247859405180829</v>
      </c>
      <c r="I26" s="15">
        <f t="shared" si="10"/>
        <v>4.3971303040340022</v>
      </c>
      <c r="J26" s="15">
        <f t="shared" si="10"/>
        <v>3.926009200030359</v>
      </c>
      <c r="K26" s="15">
        <f t="shared" si="10"/>
        <v>38.559018928869598</v>
      </c>
      <c r="L26" s="15" t="str">
        <f t="shared" si="10"/>
        <v/>
      </c>
      <c r="M26" s="15" t="str">
        <f t="shared" si="10"/>
        <v/>
      </c>
      <c r="N26" s="15" t="str">
        <f t="shared" si="10"/>
        <v/>
      </c>
      <c r="O26" s="15" t="str">
        <f t="shared" si="10"/>
        <v/>
      </c>
      <c r="P26" s="15" t="str">
        <f t="shared" si="10"/>
        <v/>
      </c>
      <c r="Q26" s="15" t="str">
        <f t="shared" si="10"/>
        <v/>
      </c>
      <c r="R26" s="15" t="str">
        <f t="shared" si="10"/>
        <v/>
      </c>
      <c r="S26" s="15" t="str">
        <f t="shared" si="10"/>
        <v/>
      </c>
      <c r="T26" s="15" t="str">
        <f t="shared" si="10"/>
        <v/>
      </c>
      <c r="U26" s="15" t="str">
        <f t="shared" si="10"/>
        <v/>
      </c>
      <c r="V26" s="15" t="str">
        <f t="shared" si="10"/>
        <v/>
      </c>
      <c r="W26" s="15" t="str">
        <f t="shared" si="10"/>
        <v/>
      </c>
      <c r="X26" s="15" t="str">
        <f t="shared" si="10"/>
        <v/>
      </c>
      <c r="Y26" s="15" t="str">
        <f t="shared" si="10"/>
        <v/>
      </c>
      <c r="Z26" s="15" t="str">
        <f t="shared" si="10"/>
        <v/>
      </c>
      <c r="AA26" s="15" t="str">
        <f t="shared" si="10"/>
        <v/>
      </c>
      <c r="AB26" s="15" t="str">
        <f t="shared" si="10"/>
        <v/>
      </c>
      <c r="AC26" s="15" t="str">
        <f t="shared" si="10"/>
        <v/>
      </c>
      <c r="AD26" s="15" t="str">
        <f t="shared" si="10"/>
        <v/>
      </c>
      <c r="AE26" s="15" t="str">
        <f t="shared" si="10"/>
        <v/>
      </c>
      <c r="AF26" s="15" t="str">
        <f t="shared" si="10"/>
        <v/>
      </c>
      <c r="AG26" s="15" t="str">
        <f t="shared" si="10"/>
        <v/>
      </c>
      <c r="AH26" s="15" t="str">
        <f t="shared" si="10"/>
        <v/>
      </c>
      <c r="AI26" s="15" t="str">
        <f t="shared" si="10"/>
        <v/>
      </c>
      <c r="AJ26" s="15" t="str">
        <f t="shared" si="10"/>
        <v/>
      </c>
      <c r="AK26" s="15" t="str">
        <f t="shared" si="10"/>
        <v/>
      </c>
      <c r="AL26" s="15" t="str">
        <f t="shared" si="10"/>
        <v/>
      </c>
      <c r="AM26" s="15" t="str">
        <f t="shared" si="10"/>
        <v/>
      </c>
      <c r="AN26" s="15" t="str">
        <f t="shared" si="10"/>
        <v/>
      </c>
      <c r="AO26" s="15" t="str">
        <f t="shared" si="10"/>
        <v/>
      </c>
      <c r="AP26" s="15" t="str">
        <f t="shared" si="10"/>
        <v/>
      </c>
      <c r="AQ26" s="15" t="str">
        <f t="shared" si="10"/>
        <v/>
      </c>
      <c r="AR26" s="15" t="str">
        <f t="shared" si="10"/>
        <v/>
      </c>
      <c r="AS26" s="15" t="str">
        <f t="shared" si="10"/>
        <v/>
      </c>
      <c r="AT26" s="15" t="str">
        <f t="shared" si="10"/>
        <v/>
      </c>
      <c r="AU26" s="15" t="str">
        <f t="shared" si="10"/>
        <v/>
      </c>
      <c r="AV26" s="15" t="str">
        <f t="shared" si="10"/>
        <v/>
      </c>
      <c r="AW26" s="15" t="str">
        <f t="shared" si="10"/>
        <v/>
      </c>
      <c r="AX26" s="15" t="str">
        <f t="shared" si="10"/>
        <v/>
      </c>
      <c r="AY26" s="15" t="str">
        <f t="shared" si="10"/>
        <v/>
      </c>
      <c r="AZ26" s="15" t="str">
        <f t="shared" si="10"/>
        <v/>
      </c>
      <c r="BA26" s="15" t="str">
        <f t="shared" si="10"/>
        <v/>
      </c>
      <c r="BB26" s="15" t="str">
        <f t="shared" si="10"/>
        <v/>
      </c>
      <c r="BC26" s="15" t="str">
        <f t="shared" si="10"/>
        <v/>
      </c>
      <c r="BD26" s="15" t="str">
        <f t="shared" si="10"/>
        <v/>
      </c>
      <c r="BE26" s="15" t="str">
        <f t="shared" si="10"/>
        <v/>
      </c>
      <c r="BF26" s="15" t="str">
        <f t="shared" si="10"/>
        <v/>
      </c>
      <c r="BG26" s="15" t="str">
        <f t="shared" si="10"/>
        <v/>
      </c>
      <c r="BH26" s="15" t="str">
        <f t="shared" si="10"/>
        <v/>
      </c>
      <c r="BI26" s="15" t="str">
        <f t="shared" si="10"/>
        <v/>
      </c>
      <c r="BJ26" s="15" t="str">
        <f t="shared" si="10"/>
        <v/>
      </c>
      <c r="BK26" s="15" t="str">
        <f t="shared" si="10"/>
        <v/>
      </c>
      <c r="BL26" s="15" t="str">
        <f t="shared" si="10"/>
        <v/>
      </c>
      <c r="BM26" s="15" t="str">
        <f t="shared" si="10"/>
        <v/>
      </c>
      <c r="BN26" s="15" t="str">
        <f t="shared" si="10"/>
        <v/>
      </c>
      <c r="BO26" s="15" t="str">
        <f t="shared" ref="BO26:DQ26" si="11">IFERROR(BO20*BO24,"")</f>
        <v/>
      </c>
      <c r="BP26" s="15" t="str">
        <f t="shared" si="11"/>
        <v/>
      </c>
      <c r="BQ26" s="15" t="str">
        <f t="shared" si="11"/>
        <v/>
      </c>
      <c r="BR26" s="15" t="str">
        <f t="shared" si="11"/>
        <v/>
      </c>
      <c r="BS26" s="15" t="str">
        <f t="shared" si="11"/>
        <v/>
      </c>
      <c r="BT26" s="15" t="str">
        <f t="shared" si="11"/>
        <v/>
      </c>
      <c r="BU26" s="15" t="str">
        <f t="shared" si="11"/>
        <v/>
      </c>
      <c r="BV26" s="15" t="str">
        <f t="shared" si="11"/>
        <v/>
      </c>
      <c r="BW26" s="15" t="str">
        <f t="shared" si="11"/>
        <v/>
      </c>
      <c r="BX26" s="15" t="str">
        <f t="shared" si="11"/>
        <v/>
      </c>
      <c r="BY26" s="15" t="str">
        <f t="shared" si="11"/>
        <v/>
      </c>
      <c r="BZ26" s="15" t="str">
        <f t="shared" si="11"/>
        <v/>
      </c>
      <c r="CA26" s="15" t="str">
        <f t="shared" si="11"/>
        <v/>
      </c>
      <c r="CB26" s="15" t="str">
        <f t="shared" si="11"/>
        <v/>
      </c>
      <c r="CC26" s="15" t="str">
        <f t="shared" si="11"/>
        <v/>
      </c>
      <c r="CD26" s="15" t="str">
        <f t="shared" si="11"/>
        <v/>
      </c>
      <c r="CE26" s="15" t="str">
        <f t="shared" si="11"/>
        <v/>
      </c>
      <c r="CF26" s="15" t="str">
        <f t="shared" si="11"/>
        <v/>
      </c>
      <c r="CG26" s="15" t="str">
        <f t="shared" si="11"/>
        <v/>
      </c>
      <c r="CH26" s="15" t="str">
        <f t="shared" si="11"/>
        <v/>
      </c>
      <c r="CI26" s="15" t="str">
        <f t="shared" si="11"/>
        <v/>
      </c>
      <c r="CJ26" s="15" t="str">
        <f t="shared" si="11"/>
        <v/>
      </c>
      <c r="CK26" s="15" t="str">
        <f t="shared" si="11"/>
        <v/>
      </c>
      <c r="CL26" s="15" t="str">
        <f t="shared" si="11"/>
        <v/>
      </c>
      <c r="CM26" s="15" t="str">
        <f t="shared" si="11"/>
        <v/>
      </c>
      <c r="CN26" s="15" t="str">
        <f t="shared" si="11"/>
        <v/>
      </c>
      <c r="CO26" s="15" t="str">
        <f t="shared" si="11"/>
        <v/>
      </c>
      <c r="CP26" s="15" t="str">
        <f t="shared" si="11"/>
        <v/>
      </c>
      <c r="CQ26" s="15" t="str">
        <f t="shared" si="11"/>
        <v/>
      </c>
      <c r="CR26" s="15" t="str">
        <f t="shared" si="11"/>
        <v/>
      </c>
      <c r="CS26" s="15" t="str">
        <f t="shared" si="11"/>
        <v/>
      </c>
      <c r="CT26" s="15" t="str">
        <f t="shared" si="11"/>
        <v/>
      </c>
      <c r="CU26" s="15" t="str">
        <f t="shared" si="11"/>
        <v/>
      </c>
      <c r="CV26" s="15" t="str">
        <f t="shared" si="11"/>
        <v/>
      </c>
      <c r="CW26" s="15" t="str">
        <f t="shared" si="11"/>
        <v/>
      </c>
      <c r="CX26" s="15" t="str">
        <f t="shared" si="11"/>
        <v/>
      </c>
      <c r="CY26" s="15" t="str">
        <f t="shared" si="11"/>
        <v/>
      </c>
      <c r="CZ26" s="15" t="str">
        <f t="shared" si="11"/>
        <v/>
      </c>
      <c r="DA26" s="15" t="str">
        <f t="shared" si="11"/>
        <v/>
      </c>
      <c r="DB26" s="15" t="str">
        <f t="shared" si="11"/>
        <v/>
      </c>
      <c r="DC26" s="15" t="str">
        <f t="shared" si="11"/>
        <v/>
      </c>
      <c r="DD26" s="15" t="str">
        <f t="shared" si="11"/>
        <v/>
      </c>
      <c r="DE26" s="15" t="str">
        <f t="shared" si="11"/>
        <v/>
      </c>
      <c r="DF26" s="15" t="str">
        <f t="shared" si="11"/>
        <v/>
      </c>
      <c r="DG26" s="15" t="str">
        <f t="shared" si="11"/>
        <v/>
      </c>
      <c r="DH26" s="15" t="str">
        <f t="shared" si="11"/>
        <v/>
      </c>
      <c r="DI26" s="15" t="str">
        <f t="shared" si="11"/>
        <v/>
      </c>
      <c r="DJ26" s="15" t="str">
        <f t="shared" si="11"/>
        <v/>
      </c>
      <c r="DK26" s="15" t="str">
        <f t="shared" si="11"/>
        <v/>
      </c>
      <c r="DL26" s="15" t="str">
        <f t="shared" si="11"/>
        <v/>
      </c>
      <c r="DM26" s="15" t="str">
        <f t="shared" si="11"/>
        <v/>
      </c>
      <c r="DN26" s="15" t="str">
        <f t="shared" si="11"/>
        <v/>
      </c>
      <c r="DO26" s="15" t="str">
        <f t="shared" si="11"/>
        <v/>
      </c>
      <c r="DP26" s="15" t="str">
        <f t="shared" si="11"/>
        <v/>
      </c>
      <c r="DQ26" s="15" t="str">
        <f t="shared" si="11"/>
        <v/>
      </c>
    </row>
    <row r="27" spans="1:185" x14ac:dyDescent="0.3">
      <c r="B27" s="1" t="str">
        <f t="shared" ref="B27:AN27" si="12">IFERROR(REPT("|",B26*1.5),"")</f>
        <v>||||||||||||||</v>
      </c>
      <c r="C27" s="1" t="str">
        <f t="shared" si="12"/>
        <v>|||||||||||||</v>
      </c>
      <c r="D27" s="1" t="str">
        <f t="shared" si="12"/>
        <v>|||||||||||</v>
      </c>
      <c r="E27" s="1" t="str">
        <f t="shared" si="12"/>
        <v>||||||||||</v>
      </c>
      <c r="F27" s="1" t="str">
        <f t="shared" si="12"/>
        <v>|||||||||</v>
      </c>
      <c r="G27" s="1" t="str">
        <f t="shared" si="12"/>
        <v>||||||||</v>
      </c>
      <c r="H27" s="1" t="str">
        <f t="shared" si="12"/>
        <v>|||||||</v>
      </c>
      <c r="I27" s="1" t="str">
        <f t="shared" si="12"/>
        <v>||||||</v>
      </c>
      <c r="J27" s="1" t="str">
        <f t="shared" si="12"/>
        <v>|||||</v>
      </c>
      <c r="K27" s="1" t="str">
        <f t="shared" si="12"/>
        <v>|||||||||||||||||||||||||||||||||||||||||||||||||||||||||</v>
      </c>
      <c r="L27" s="1" t="str">
        <f t="shared" si="12"/>
        <v/>
      </c>
      <c r="M27" s="1" t="str">
        <f t="shared" si="12"/>
        <v/>
      </c>
      <c r="N27" s="1" t="str">
        <f t="shared" si="12"/>
        <v/>
      </c>
      <c r="O27" s="1" t="str">
        <f t="shared" si="12"/>
        <v/>
      </c>
      <c r="P27" s="1" t="str">
        <f t="shared" si="12"/>
        <v/>
      </c>
      <c r="Q27" s="1" t="str">
        <f t="shared" si="12"/>
        <v/>
      </c>
      <c r="R27" s="1" t="str">
        <f t="shared" si="12"/>
        <v/>
      </c>
      <c r="S27" s="1" t="str">
        <f t="shared" si="12"/>
        <v/>
      </c>
      <c r="T27" s="1" t="str">
        <f t="shared" si="12"/>
        <v/>
      </c>
      <c r="U27" s="1" t="str">
        <f t="shared" si="12"/>
        <v/>
      </c>
      <c r="V27" s="1" t="str">
        <f t="shared" si="12"/>
        <v/>
      </c>
      <c r="W27" s="1" t="str">
        <f t="shared" si="12"/>
        <v/>
      </c>
      <c r="X27" s="1" t="str">
        <f t="shared" si="12"/>
        <v/>
      </c>
      <c r="Y27" s="1" t="str">
        <f t="shared" si="12"/>
        <v/>
      </c>
      <c r="Z27" s="1" t="str">
        <f t="shared" si="12"/>
        <v/>
      </c>
      <c r="AA27" s="1" t="str">
        <f t="shared" si="12"/>
        <v/>
      </c>
      <c r="AB27" s="1" t="str">
        <f t="shared" si="12"/>
        <v/>
      </c>
      <c r="AC27" s="1" t="str">
        <f t="shared" si="12"/>
        <v/>
      </c>
      <c r="AD27" s="1" t="str">
        <f t="shared" si="12"/>
        <v/>
      </c>
      <c r="AE27" s="1" t="str">
        <f t="shared" si="12"/>
        <v/>
      </c>
      <c r="AF27" s="1" t="str">
        <f t="shared" si="12"/>
        <v/>
      </c>
      <c r="AG27" s="1" t="str">
        <f t="shared" si="12"/>
        <v/>
      </c>
      <c r="AH27" s="1" t="str">
        <f t="shared" si="12"/>
        <v/>
      </c>
      <c r="AI27" s="1" t="str">
        <f t="shared" si="12"/>
        <v/>
      </c>
      <c r="AJ27" s="1" t="str">
        <f t="shared" si="12"/>
        <v/>
      </c>
      <c r="AK27" s="1" t="str">
        <f t="shared" si="12"/>
        <v/>
      </c>
      <c r="AL27" s="1" t="str">
        <f t="shared" si="12"/>
        <v/>
      </c>
      <c r="AM27" s="1" t="str">
        <f t="shared" si="12"/>
        <v/>
      </c>
      <c r="AN27" s="1" t="str">
        <f t="shared" si="12"/>
        <v/>
      </c>
      <c r="AO27" s="1" t="str">
        <f>IFERROR(REPT("|",AO26*1.5),"")</f>
        <v/>
      </c>
      <c r="AP27" s="1" t="str">
        <f t="shared" ref="AP27:BN27" si="13">IFERROR(REPT("|",AP26*20),"")</f>
        <v/>
      </c>
      <c r="AQ27" s="1" t="str">
        <f t="shared" si="13"/>
        <v/>
      </c>
      <c r="AR27" s="1" t="str">
        <f t="shared" si="13"/>
        <v/>
      </c>
      <c r="AS27" s="1" t="str">
        <f t="shared" si="13"/>
        <v/>
      </c>
      <c r="AT27" s="1" t="str">
        <f t="shared" si="13"/>
        <v/>
      </c>
      <c r="AU27" s="1" t="str">
        <f t="shared" si="13"/>
        <v/>
      </c>
      <c r="AV27" s="1" t="str">
        <f t="shared" si="13"/>
        <v/>
      </c>
      <c r="AW27" s="1" t="str">
        <f t="shared" si="13"/>
        <v/>
      </c>
      <c r="AX27" s="1" t="str">
        <f t="shared" si="13"/>
        <v/>
      </c>
      <c r="AY27" s="1" t="str">
        <f t="shared" si="13"/>
        <v/>
      </c>
      <c r="AZ27" s="1" t="str">
        <f t="shared" si="13"/>
        <v/>
      </c>
      <c r="BA27" s="1" t="str">
        <f t="shared" si="13"/>
        <v/>
      </c>
      <c r="BB27" s="1" t="str">
        <f t="shared" si="13"/>
        <v/>
      </c>
      <c r="BC27" s="1" t="str">
        <f t="shared" si="13"/>
        <v/>
      </c>
      <c r="BD27" s="1" t="str">
        <f t="shared" si="13"/>
        <v/>
      </c>
      <c r="BE27" s="1" t="str">
        <f t="shared" si="13"/>
        <v/>
      </c>
      <c r="BF27" s="1" t="str">
        <f t="shared" si="13"/>
        <v/>
      </c>
      <c r="BG27" s="1" t="str">
        <f t="shared" si="13"/>
        <v/>
      </c>
      <c r="BH27" s="1" t="str">
        <f t="shared" si="13"/>
        <v/>
      </c>
      <c r="BI27" s="1" t="str">
        <f t="shared" si="13"/>
        <v/>
      </c>
      <c r="BJ27" s="1" t="str">
        <f t="shared" si="13"/>
        <v/>
      </c>
      <c r="BK27" s="1" t="str">
        <f t="shared" si="13"/>
        <v/>
      </c>
      <c r="BL27" s="1" t="str">
        <f t="shared" si="13"/>
        <v/>
      </c>
      <c r="BM27" s="1" t="str">
        <f t="shared" si="13"/>
        <v/>
      </c>
      <c r="BN27" s="1" t="str">
        <f t="shared" si="13"/>
        <v/>
      </c>
      <c r="BO27" s="1" t="str">
        <f t="shared" ref="BO27:DQ27" si="14">IFERROR(REPT("|",BO26*20),"")</f>
        <v/>
      </c>
      <c r="BP27" s="1" t="str">
        <f t="shared" si="14"/>
        <v/>
      </c>
      <c r="BQ27" s="1" t="str">
        <f t="shared" si="14"/>
        <v/>
      </c>
      <c r="BR27" s="1" t="str">
        <f t="shared" si="14"/>
        <v/>
      </c>
      <c r="BS27" s="1" t="str">
        <f t="shared" si="14"/>
        <v/>
      </c>
      <c r="BT27" s="1" t="str">
        <f t="shared" si="14"/>
        <v/>
      </c>
      <c r="BU27" s="1" t="str">
        <f t="shared" si="14"/>
        <v/>
      </c>
      <c r="BV27" s="1" t="str">
        <f t="shared" si="14"/>
        <v/>
      </c>
      <c r="BW27" s="1" t="str">
        <f t="shared" si="14"/>
        <v/>
      </c>
      <c r="BX27" s="1" t="str">
        <f t="shared" si="14"/>
        <v/>
      </c>
      <c r="BY27" s="1" t="str">
        <f t="shared" si="14"/>
        <v/>
      </c>
      <c r="BZ27" s="1" t="str">
        <f t="shared" si="14"/>
        <v/>
      </c>
      <c r="CA27" s="1" t="str">
        <f t="shared" si="14"/>
        <v/>
      </c>
      <c r="CB27" s="1" t="str">
        <f t="shared" si="14"/>
        <v/>
      </c>
      <c r="CC27" s="1" t="str">
        <f t="shared" si="14"/>
        <v/>
      </c>
      <c r="CD27" s="1" t="str">
        <f t="shared" si="14"/>
        <v/>
      </c>
      <c r="CE27" s="1" t="str">
        <f t="shared" si="14"/>
        <v/>
      </c>
      <c r="CF27" s="1" t="str">
        <f t="shared" si="14"/>
        <v/>
      </c>
      <c r="CG27" s="1" t="str">
        <f t="shared" si="14"/>
        <v/>
      </c>
      <c r="CH27" s="1" t="str">
        <f t="shared" si="14"/>
        <v/>
      </c>
      <c r="CI27" s="1" t="str">
        <f t="shared" si="14"/>
        <v/>
      </c>
      <c r="CJ27" s="1" t="str">
        <f t="shared" si="14"/>
        <v/>
      </c>
      <c r="CK27" s="1" t="str">
        <f t="shared" si="14"/>
        <v/>
      </c>
      <c r="CL27" s="1" t="str">
        <f t="shared" si="14"/>
        <v/>
      </c>
      <c r="CM27" s="1" t="str">
        <f t="shared" si="14"/>
        <v/>
      </c>
      <c r="CN27" s="1" t="str">
        <f t="shared" si="14"/>
        <v/>
      </c>
      <c r="CO27" s="1" t="str">
        <f t="shared" si="14"/>
        <v/>
      </c>
      <c r="CP27" s="1" t="str">
        <f t="shared" si="14"/>
        <v/>
      </c>
      <c r="CQ27" s="1" t="str">
        <f t="shared" si="14"/>
        <v/>
      </c>
      <c r="CR27" s="1" t="str">
        <f t="shared" si="14"/>
        <v/>
      </c>
      <c r="CS27" s="1" t="str">
        <f t="shared" si="14"/>
        <v/>
      </c>
      <c r="CT27" s="1" t="str">
        <f t="shared" si="14"/>
        <v/>
      </c>
      <c r="CU27" s="1" t="str">
        <f t="shared" si="14"/>
        <v/>
      </c>
      <c r="CV27" s="1" t="str">
        <f t="shared" si="14"/>
        <v/>
      </c>
      <c r="CW27" s="1" t="str">
        <f t="shared" si="14"/>
        <v/>
      </c>
      <c r="CX27" s="1" t="str">
        <f t="shared" si="14"/>
        <v/>
      </c>
      <c r="CY27" s="1" t="str">
        <f t="shared" si="14"/>
        <v/>
      </c>
      <c r="CZ27" s="1" t="str">
        <f t="shared" si="14"/>
        <v/>
      </c>
      <c r="DA27" s="1" t="str">
        <f t="shared" si="14"/>
        <v/>
      </c>
      <c r="DB27" s="1" t="str">
        <f t="shared" si="14"/>
        <v/>
      </c>
      <c r="DC27" s="1" t="str">
        <f t="shared" si="14"/>
        <v/>
      </c>
      <c r="DD27" s="1" t="str">
        <f t="shared" si="14"/>
        <v/>
      </c>
      <c r="DE27" s="1" t="str">
        <f t="shared" si="14"/>
        <v/>
      </c>
      <c r="DF27" s="1" t="str">
        <f t="shared" si="14"/>
        <v/>
      </c>
      <c r="DG27" s="1" t="str">
        <f t="shared" si="14"/>
        <v/>
      </c>
      <c r="DH27" s="1" t="str">
        <f t="shared" si="14"/>
        <v/>
      </c>
      <c r="DI27" s="1" t="str">
        <f t="shared" si="14"/>
        <v/>
      </c>
      <c r="DJ27" s="1" t="str">
        <f t="shared" si="14"/>
        <v/>
      </c>
      <c r="DK27" s="1" t="str">
        <f t="shared" si="14"/>
        <v/>
      </c>
      <c r="DL27" s="1" t="str">
        <f t="shared" si="14"/>
        <v/>
      </c>
      <c r="DM27" s="1" t="str">
        <f t="shared" si="14"/>
        <v/>
      </c>
      <c r="DN27" s="1" t="str">
        <f t="shared" si="14"/>
        <v/>
      </c>
      <c r="DO27" s="1" t="str">
        <f t="shared" si="14"/>
        <v/>
      </c>
      <c r="DP27" s="1" t="str">
        <f t="shared" si="14"/>
        <v/>
      </c>
      <c r="DQ27" s="1" t="str">
        <f t="shared" si="14"/>
        <v/>
      </c>
    </row>
    <row r="28" spans="1:185" x14ac:dyDescent="0.3">
      <c r="B28" s="13"/>
      <c r="E28" s="4"/>
    </row>
    <row r="29" spans="1:185" s="7" customFormat="1" ht="15.6" x14ac:dyDescent="0.3">
      <c r="A29" s="38" t="s">
        <v>16</v>
      </c>
      <c r="B29" s="39">
        <f ca="1">SUM(B26:OFFSET(B26,1,B6*B14-1))</f>
        <v>96.568381546601543</v>
      </c>
    </row>
    <row r="30" spans="1:185" s="7" customFormat="1" ht="14.4" x14ac:dyDescent="0.3"/>
    <row r="31" spans="1:185" s="7" customFormat="1" ht="14.4" x14ac:dyDescent="0.3">
      <c r="A31" s="40" t="s">
        <v>23</v>
      </c>
      <c r="B31" s="30">
        <f ca="1">IFERROR(B26/$B$29,"")</f>
        <v>0.10066083798224236</v>
      </c>
      <c r="C31" s="30">
        <f t="shared" ref="C31:BN31" ca="1" si="15">IFERROR(C26/$B$29,"")</f>
        <v>8.9875748198430666E-2</v>
      </c>
      <c r="D31" s="30">
        <f t="shared" ca="1" si="15"/>
        <v>8.0246203748598796E-2</v>
      </c>
      <c r="E31" s="30">
        <f t="shared" ca="1" si="15"/>
        <v>7.1648396204106068E-2</v>
      </c>
      <c r="F31" s="30">
        <f t="shared" ca="1" si="15"/>
        <v>6.3971782325094692E-2</v>
      </c>
      <c r="G31" s="30">
        <f t="shared" ca="1" si="15"/>
        <v>5.7117662790263111E-2</v>
      </c>
      <c r="H31" s="30">
        <f t="shared" ca="1" si="15"/>
        <v>5.0997913205592056E-2</v>
      </c>
      <c r="I31" s="30">
        <f t="shared" ca="1" si="15"/>
        <v>4.5533851076421474E-2</v>
      </c>
      <c r="J31" s="30">
        <f t="shared" ca="1" si="15"/>
        <v>4.0655224175376314E-2</v>
      </c>
      <c r="K31" s="30">
        <f t="shared" ca="1" si="15"/>
        <v>0.39929238029387454</v>
      </c>
      <c r="L31" s="30" t="str">
        <f t="shared" ca="1" si="15"/>
        <v/>
      </c>
      <c r="M31" s="30" t="str">
        <f t="shared" ca="1" si="15"/>
        <v/>
      </c>
      <c r="N31" s="30" t="str">
        <f t="shared" ca="1" si="15"/>
        <v/>
      </c>
      <c r="O31" s="30" t="str">
        <f t="shared" ca="1" si="15"/>
        <v/>
      </c>
      <c r="P31" s="30" t="str">
        <f t="shared" ca="1" si="15"/>
        <v/>
      </c>
      <c r="Q31" s="30" t="str">
        <f t="shared" ca="1" si="15"/>
        <v/>
      </c>
      <c r="R31" s="30" t="str">
        <f t="shared" ca="1" si="15"/>
        <v/>
      </c>
      <c r="S31" s="30" t="str">
        <f t="shared" ca="1" si="15"/>
        <v/>
      </c>
      <c r="T31" s="30" t="str">
        <f t="shared" ca="1" si="15"/>
        <v/>
      </c>
      <c r="U31" s="30" t="str">
        <f t="shared" ca="1" si="15"/>
        <v/>
      </c>
      <c r="V31" s="30" t="str">
        <f t="shared" ca="1" si="15"/>
        <v/>
      </c>
      <c r="W31" s="30" t="str">
        <f t="shared" ca="1" si="15"/>
        <v/>
      </c>
      <c r="X31" s="30" t="str">
        <f t="shared" ca="1" si="15"/>
        <v/>
      </c>
      <c r="Y31" s="30" t="str">
        <f t="shared" ca="1" si="15"/>
        <v/>
      </c>
      <c r="Z31" s="30" t="str">
        <f t="shared" ca="1" si="15"/>
        <v/>
      </c>
      <c r="AA31" s="30" t="str">
        <f t="shared" ca="1" si="15"/>
        <v/>
      </c>
      <c r="AB31" s="30" t="str">
        <f t="shared" ca="1" si="15"/>
        <v/>
      </c>
      <c r="AC31" s="30" t="str">
        <f t="shared" ca="1" si="15"/>
        <v/>
      </c>
      <c r="AD31" s="30" t="str">
        <f t="shared" ca="1" si="15"/>
        <v/>
      </c>
      <c r="AE31" s="30" t="str">
        <f t="shared" ca="1" si="15"/>
        <v/>
      </c>
      <c r="AF31" s="30" t="str">
        <f t="shared" ca="1" si="15"/>
        <v/>
      </c>
      <c r="AG31" s="30" t="str">
        <f t="shared" ca="1" si="15"/>
        <v/>
      </c>
      <c r="AH31" s="30" t="str">
        <f t="shared" ca="1" si="15"/>
        <v/>
      </c>
      <c r="AI31" s="30" t="str">
        <f t="shared" ca="1" si="15"/>
        <v/>
      </c>
      <c r="AJ31" s="30" t="str">
        <f t="shared" ca="1" si="15"/>
        <v/>
      </c>
      <c r="AK31" s="30" t="str">
        <f t="shared" ca="1" si="15"/>
        <v/>
      </c>
      <c r="AL31" s="30" t="str">
        <f t="shared" ca="1" si="15"/>
        <v/>
      </c>
      <c r="AM31" s="30" t="str">
        <f t="shared" ca="1" si="15"/>
        <v/>
      </c>
      <c r="AN31" s="30" t="str">
        <f t="shared" ca="1" si="15"/>
        <v/>
      </c>
      <c r="AO31" s="30" t="str">
        <f t="shared" ca="1" si="15"/>
        <v/>
      </c>
      <c r="AP31" s="30" t="str">
        <f t="shared" ca="1" si="15"/>
        <v/>
      </c>
      <c r="AQ31" s="30" t="str">
        <f t="shared" ca="1" si="15"/>
        <v/>
      </c>
      <c r="AR31" s="30" t="str">
        <f t="shared" ca="1" si="15"/>
        <v/>
      </c>
      <c r="AS31" s="30" t="str">
        <f t="shared" ca="1" si="15"/>
        <v/>
      </c>
      <c r="AT31" s="30" t="str">
        <f t="shared" ca="1" si="15"/>
        <v/>
      </c>
      <c r="AU31" s="30" t="str">
        <f t="shared" ca="1" si="15"/>
        <v/>
      </c>
      <c r="AV31" s="30" t="str">
        <f t="shared" ca="1" si="15"/>
        <v/>
      </c>
      <c r="AW31" s="30" t="str">
        <f t="shared" ca="1" si="15"/>
        <v/>
      </c>
      <c r="AX31" s="30" t="str">
        <f t="shared" ca="1" si="15"/>
        <v/>
      </c>
      <c r="AY31" s="30" t="str">
        <f t="shared" ca="1" si="15"/>
        <v/>
      </c>
      <c r="AZ31" s="30" t="str">
        <f t="shared" ca="1" si="15"/>
        <v/>
      </c>
      <c r="BA31" s="30" t="str">
        <f t="shared" ca="1" si="15"/>
        <v/>
      </c>
      <c r="BB31" s="30" t="str">
        <f t="shared" ca="1" si="15"/>
        <v/>
      </c>
      <c r="BC31" s="30" t="str">
        <f t="shared" ca="1" si="15"/>
        <v/>
      </c>
      <c r="BD31" s="30" t="str">
        <f t="shared" ca="1" si="15"/>
        <v/>
      </c>
      <c r="BE31" s="30" t="str">
        <f t="shared" ca="1" si="15"/>
        <v/>
      </c>
      <c r="BF31" s="30" t="str">
        <f t="shared" ca="1" si="15"/>
        <v/>
      </c>
      <c r="BG31" s="30" t="str">
        <f t="shared" ca="1" si="15"/>
        <v/>
      </c>
      <c r="BH31" s="30" t="str">
        <f t="shared" ca="1" si="15"/>
        <v/>
      </c>
      <c r="BI31" s="30" t="str">
        <f t="shared" ca="1" si="15"/>
        <v/>
      </c>
      <c r="BJ31" s="30" t="str">
        <f t="shared" ca="1" si="15"/>
        <v/>
      </c>
      <c r="BK31" s="30" t="str">
        <f t="shared" ca="1" si="15"/>
        <v/>
      </c>
      <c r="BL31" s="30" t="str">
        <f t="shared" ca="1" si="15"/>
        <v/>
      </c>
      <c r="BM31" s="30" t="str">
        <f t="shared" ca="1" si="15"/>
        <v/>
      </c>
      <c r="BN31" s="30" t="str">
        <f t="shared" ca="1" si="15"/>
        <v/>
      </c>
      <c r="BO31" s="30" t="str">
        <f t="shared" ref="BO31:DQ31" ca="1" si="16">IFERROR(BO26/$B$29,"")</f>
        <v/>
      </c>
      <c r="BP31" s="30" t="str">
        <f t="shared" ca="1" si="16"/>
        <v/>
      </c>
      <c r="BQ31" s="30" t="str">
        <f t="shared" ca="1" si="16"/>
        <v/>
      </c>
      <c r="BR31" s="30" t="str">
        <f t="shared" ca="1" si="16"/>
        <v/>
      </c>
      <c r="BS31" s="30" t="str">
        <f t="shared" ca="1" si="16"/>
        <v/>
      </c>
      <c r="BT31" s="30" t="str">
        <f t="shared" ca="1" si="16"/>
        <v/>
      </c>
      <c r="BU31" s="30" t="str">
        <f t="shared" ca="1" si="16"/>
        <v/>
      </c>
      <c r="BV31" s="30" t="str">
        <f t="shared" ca="1" si="16"/>
        <v/>
      </c>
      <c r="BW31" s="30" t="str">
        <f t="shared" ca="1" si="16"/>
        <v/>
      </c>
      <c r="BX31" s="30" t="str">
        <f t="shared" ca="1" si="16"/>
        <v/>
      </c>
      <c r="BY31" s="30" t="str">
        <f t="shared" ca="1" si="16"/>
        <v/>
      </c>
      <c r="BZ31" s="30" t="str">
        <f t="shared" ca="1" si="16"/>
        <v/>
      </c>
      <c r="CA31" s="30" t="str">
        <f t="shared" ca="1" si="16"/>
        <v/>
      </c>
      <c r="CB31" s="30" t="str">
        <f t="shared" ca="1" si="16"/>
        <v/>
      </c>
      <c r="CC31" s="30" t="str">
        <f t="shared" ca="1" si="16"/>
        <v/>
      </c>
      <c r="CD31" s="30" t="str">
        <f t="shared" ca="1" si="16"/>
        <v/>
      </c>
      <c r="CE31" s="30" t="str">
        <f t="shared" ca="1" si="16"/>
        <v/>
      </c>
      <c r="CF31" s="30" t="str">
        <f t="shared" ca="1" si="16"/>
        <v/>
      </c>
      <c r="CG31" s="30" t="str">
        <f t="shared" ca="1" si="16"/>
        <v/>
      </c>
      <c r="CH31" s="30" t="str">
        <f t="shared" ca="1" si="16"/>
        <v/>
      </c>
      <c r="CI31" s="30" t="str">
        <f t="shared" ca="1" si="16"/>
        <v/>
      </c>
      <c r="CJ31" s="30" t="str">
        <f t="shared" ca="1" si="16"/>
        <v/>
      </c>
      <c r="CK31" s="30" t="str">
        <f t="shared" ca="1" si="16"/>
        <v/>
      </c>
      <c r="CL31" s="30" t="str">
        <f t="shared" ca="1" si="16"/>
        <v/>
      </c>
      <c r="CM31" s="30" t="str">
        <f t="shared" ca="1" si="16"/>
        <v/>
      </c>
      <c r="CN31" s="30" t="str">
        <f t="shared" ca="1" si="16"/>
        <v/>
      </c>
      <c r="CO31" s="30" t="str">
        <f t="shared" ca="1" si="16"/>
        <v/>
      </c>
      <c r="CP31" s="30" t="str">
        <f t="shared" ca="1" si="16"/>
        <v/>
      </c>
      <c r="CQ31" s="30" t="str">
        <f t="shared" ca="1" si="16"/>
        <v/>
      </c>
      <c r="CR31" s="30" t="str">
        <f t="shared" ca="1" si="16"/>
        <v/>
      </c>
      <c r="CS31" s="30" t="str">
        <f t="shared" ca="1" si="16"/>
        <v/>
      </c>
      <c r="CT31" s="30" t="str">
        <f t="shared" ca="1" si="16"/>
        <v/>
      </c>
      <c r="CU31" s="30" t="str">
        <f t="shared" ca="1" si="16"/>
        <v/>
      </c>
      <c r="CV31" s="30" t="str">
        <f t="shared" ca="1" si="16"/>
        <v/>
      </c>
      <c r="CW31" s="30" t="str">
        <f t="shared" ca="1" si="16"/>
        <v/>
      </c>
      <c r="CX31" s="30" t="str">
        <f t="shared" ca="1" si="16"/>
        <v/>
      </c>
      <c r="CY31" s="30" t="str">
        <f t="shared" ca="1" si="16"/>
        <v/>
      </c>
      <c r="CZ31" s="30" t="str">
        <f t="shared" ca="1" si="16"/>
        <v/>
      </c>
      <c r="DA31" s="30" t="str">
        <f t="shared" ca="1" si="16"/>
        <v/>
      </c>
      <c r="DB31" s="30" t="str">
        <f t="shared" ca="1" si="16"/>
        <v/>
      </c>
      <c r="DC31" s="30" t="str">
        <f t="shared" ca="1" si="16"/>
        <v/>
      </c>
      <c r="DD31" s="30" t="str">
        <f t="shared" ca="1" si="16"/>
        <v/>
      </c>
      <c r="DE31" s="30" t="str">
        <f t="shared" ca="1" si="16"/>
        <v/>
      </c>
      <c r="DF31" s="30" t="str">
        <f t="shared" ca="1" si="16"/>
        <v/>
      </c>
      <c r="DG31" s="30" t="str">
        <f t="shared" ca="1" si="16"/>
        <v/>
      </c>
      <c r="DH31" s="30" t="str">
        <f t="shared" ca="1" si="16"/>
        <v/>
      </c>
      <c r="DI31" s="30" t="str">
        <f t="shared" ca="1" si="16"/>
        <v/>
      </c>
      <c r="DJ31" s="30" t="str">
        <f t="shared" ca="1" si="16"/>
        <v/>
      </c>
      <c r="DK31" s="30" t="str">
        <f t="shared" ca="1" si="16"/>
        <v/>
      </c>
      <c r="DL31" s="30" t="str">
        <f t="shared" ca="1" si="16"/>
        <v/>
      </c>
      <c r="DM31" s="30" t="str">
        <f t="shared" ca="1" si="16"/>
        <v/>
      </c>
      <c r="DN31" s="30" t="str">
        <f t="shared" ca="1" si="16"/>
        <v/>
      </c>
      <c r="DO31" s="30" t="str">
        <f t="shared" ca="1" si="16"/>
        <v/>
      </c>
      <c r="DP31" s="30" t="str">
        <f t="shared" ca="1" si="16"/>
        <v/>
      </c>
      <c r="DQ31" s="30" t="str">
        <f t="shared" ca="1" si="16"/>
        <v/>
      </c>
    </row>
    <row r="32" spans="1:185" s="7" customFormat="1" ht="15" thickBot="1" x14ac:dyDescent="0.35"/>
    <row r="33" spans="1:121" s="7" customFormat="1" ht="15" thickBot="1" x14ac:dyDescent="0.35">
      <c r="A33" s="23" t="s">
        <v>2</v>
      </c>
      <c r="B33" s="14">
        <f ca="1">IFERROR(B22*B31,"")</f>
        <v>2.516520949556059E-2</v>
      </c>
      <c r="C33" s="15">
        <f ca="1">IFERROR(C22*C31,"")</f>
        <v>0.11234468524803834</v>
      </c>
      <c r="D33" s="15">
        <f t="shared" ref="D33:BO33" ca="1" si="17">IFERROR(D22*D31,"")</f>
        <v>0.18055395843434729</v>
      </c>
      <c r="E33" s="15">
        <f t="shared" ca="1" si="17"/>
        <v>0.23285728766334474</v>
      </c>
      <c r="F33" s="15">
        <f t="shared" ca="1" si="17"/>
        <v>0.27188007488165244</v>
      </c>
      <c r="G33" s="15">
        <f t="shared" ca="1" si="17"/>
        <v>0.29986772964888131</v>
      </c>
      <c r="H33" s="15">
        <f t="shared" ca="1" si="17"/>
        <v>0.31873695753495035</v>
      </c>
      <c r="I33" s="15">
        <f t="shared" ca="1" si="17"/>
        <v>0.3301204203040557</v>
      </c>
      <c r="J33" s="15">
        <f t="shared" ca="1" si="17"/>
        <v>0.33540559944685461</v>
      </c>
      <c r="K33" s="15">
        <f t="shared" ca="1" si="17"/>
        <v>3.6934545177183393</v>
      </c>
      <c r="L33" s="15" t="str">
        <f t="shared" ca="1" si="17"/>
        <v/>
      </c>
      <c r="M33" s="15" t="str">
        <f t="shared" ca="1" si="17"/>
        <v/>
      </c>
      <c r="N33" s="15" t="str">
        <f t="shared" ca="1" si="17"/>
        <v/>
      </c>
      <c r="O33" s="15" t="str">
        <f t="shared" ca="1" si="17"/>
        <v/>
      </c>
      <c r="P33" s="15" t="str">
        <f t="shared" ca="1" si="17"/>
        <v/>
      </c>
      <c r="Q33" s="15" t="str">
        <f t="shared" ca="1" si="17"/>
        <v/>
      </c>
      <c r="R33" s="15" t="str">
        <f t="shared" ca="1" si="17"/>
        <v/>
      </c>
      <c r="S33" s="15" t="str">
        <f t="shared" ca="1" si="17"/>
        <v/>
      </c>
      <c r="T33" s="15" t="str">
        <f t="shared" ca="1" si="17"/>
        <v/>
      </c>
      <c r="U33" s="15" t="str">
        <f t="shared" ca="1" si="17"/>
        <v/>
      </c>
      <c r="V33" s="15" t="str">
        <f t="shared" ca="1" si="17"/>
        <v/>
      </c>
      <c r="W33" s="15" t="str">
        <f t="shared" ca="1" si="17"/>
        <v/>
      </c>
      <c r="X33" s="15" t="str">
        <f t="shared" ca="1" si="17"/>
        <v/>
      </c>
      <c r="Y33" s="15" t="str">
        <f t="shared" ca="1" si="17"/>
        <v/>
      </c>
      <c r="Z33" s="15" t="str">
        <f t="shared" ca="1" si="17"/>
        <v/>
      </c>
      <c r="AA33" s="15" t="str">
        <f t="shared" ca="1" si="17"/>
        <v/>
      </c>
      <c r="AB33" s="15" t="str">
        <f t="shared" ca="1" si="17"/>
        <v/>
      </c>
      <c r="AC33" s="15" t="str">
        <f t="shared" ca="1" si="17"/>
        <v/>
      </c>
      <c r="AD33" s="15" t="str">
        <f t="shared" ca="1" si="17"/>
        <v/>
      </c>
      <c r="AE33" s="15" t="str">
        <f t="shared" ca="1" si="17"/>
        <v/>
      </c>
      <c r="AF33" s="15" t="str">
        <f t="shared" ca="1" si="17"/>
        <v/>
      </c>
      <c r="AG33" s="15" t="str">
        <f t="shared" ca="1" si="17"/>
        <v/>
      </c>
      <c r="AH33" s="15" t="str">
        <f t="shared" ca="1" si="17"/>
        <v/>
      </c>
      <c r="AI33" s="15" t="str">
        <f t="shared" ca="1" si="17"/>
        <v/>
      </c>
      <c r="AJ33" s="15" t="str">
        <f t="shared" ca="1" si="17"/>
        <v/>
      </c>
      <c r="AK33" s="15" t="str">
        <f t="shared" ca="1" si="17"/>
        <v/>
      </c>
      <c r="AL33" s="15" t="str">
        <f t="shared" ca="1" si="17"/>
        <v/>
      </c>
      <c r="AM33" s="15" t="str">
        <f t="shared" ca="1" si="17"/>
        <v/>
      </c>
      <c r="AN33" s="15" t="str">
        <f t="shared" ca="1" si="17"/>
        <v/>
      </c>
      <c r="AO33" s="15" t="str">
        <f t="shared" ca="1" si="17"/>
        <v/>
      </c>
      <c r="AP33" s="15" t="str">
        <f t="shared" ca="1" si="17"/>
        <v/>
      </c>
      <c r="AQ33" s="15" t="str">
        <f t="shared" ca="1" si="17"/>
        <v/>
      </c>
      <c r="AR33" s="15" t="str">
        <f t="shared" ca="1" si="17"/>
        <v/>
      </c>
      <c r="AS33" s="15" t="str">
        <f t="shared" ca="1" si="17"/>
        <v/>
      </c>
      <c r="AT33" s="15" t="str">
        <f t="shared" ca="1" si="17"/>
        <v/>
      </c>
      <c r="AU33" s="15" t="str">
        <f t="shared" ca="1" si="17"/>
        <v/>
      </c>
      <c r="AV33" s="15" t="str">
        <f t="shared" ca="1" si="17"/>
        <v/>
      </c>
      <c r="AW33" s="15" t="str">
        <f t="shared" ca="1" si="17"/>
        <v/>
      </c>
      <c r="AX33" s="15" t="str">
        <f t="shared" ca="1" si="17"/>
        <v/>
      </c>
      <c r="AY33" s="15" t="str">
        <f t="shared" ca="1" si="17"/>
        <v/>
      </c>
      <c r="AZ33" s="15" t="str">
        <f t="shared" ca="1" si="17"/>
        <v/>
      </c>
      <c r="BA33" s="15" t="str">
        <f t="shared" ca="1" si="17"/>
        <v/>
      </c>
      <c r="BB33" s="15" t="str">
        <f t="shared" ca="1" si="17"/>
        <v/>
      </c>
      <c r="BC33" s="15" t="str">
        <f t="shared" ca="1" si="17"/>
        <v/>
      </c>
      <c r="BD33" s="15" t="str">
        <f t="shared" ca="1" si="17"/>
        <v/>
      </c>
      <c r="BE33" s="15" t="str">
        <f t="shared" ca="1" si="17"/>
        <v/>
      </c>
      <c r="BF33" s="15" t="str">
        <f t="shared" ca="1" si="17"/>
        <v/>
      </c>
      <c r="BG33" s="15" t="str">
        <f t="shared" ca="1" si="17"/>
        <v/>
      </c>
      <c r="BH33" s="15" t="str">
        <f t="shared" ca="1" si="17"/>
        <v/>
      </c>
      <c r="BI33" s="15" t="str">
        <f t="shared" ca="1" si="17"/>
        <v/>
      </c>
      <c r="BJ33" s="15" t="str">
        <f t="shared" ca="1" si="17"/>
        <v/>
      </c>
      <c r="BK33" s="15" t="str">
        <f t="shared" ca="1" si="17"/>
        <v/>
      </c>
      <c r="BL33" s="15" t="str">
        <f t="shared" ca="1" si="17"/>
        <v/>
      </c>
      <c r="BM33" s="15" t="str">
        <f t="shared" ca="1" si="17"/>
        <v/>
      </c>
      <c r="BN33" s="15" t="str">
        <f t="shared" ca="1" si="17"/>
        <v/>
      </c>
      <c r="BO33" s="15" t="str">
        <f t="shared" ca="1" si="17"/>
        <v/>
      </c>
      <c r="BP33" s="15" t="str">
        <f t="shared" ref="BP33:DQ33" ca="1" si="18">IFERROR(BP22*BP31,"")</f>
        <v/>
      </c>
      <c r="BQ33" s="15" t="str">
        <f t="shared" ca="1" si="18"/>
        <v/>
      </c>
      <c r="BR33" s="15" t="str">
        <f t="shared" ca="1" si="18"/>
        <v/>
      </c>
      <c r="BS33" s="15" t="str">
        <f t="shared" ca="1" si="18"/>
        <v/>
      </c>
      <c r="BT33" s="15" t="str">
        <f t="shared" ca="1" si="18"/>
        <v/>
      </c>
      <c r="BU33" s="15" t="str">
        <f t="shared" ca="1" si="18"/>
        <v/>
      </c>
      <c r="BV33" s="15" t="str">
        <f t="shared" ca="1" si="18"/>
        <v/>
      </c>
      <c r="BW33" s="15" t="str">
        <f t="shared" ca="1" si="18"/>
        <v/>
      </c>
      <c r="BX33" s="15" t="str">
        <f t="shared" ca="1" si="18"/>
        <v/>
      </c>
      <c r="BY33" s="15" t="str">
        <f t="shared" ca="1" si="18"/>
        <v/>
      </c>
      <c r="BZ33" s="15" t="str">
        <f t="shared" ca="1" si="18"/>
        <v/>
      </c>
      <c r="CA33" s="15" t="str">
        <f t="shared" ca="1" si="18"/>
        <v/>
      </c>
      <c r="CB33" s="15" t="str">
        <f t="shared" ca="1" si="18"/>
        <v/>
      </c>
      <c r="CC33" s="15" t="str">
        <f t="shared" ca="1" si="18"/>
        <v/>
      </c>
      <c r="CD33" s="15" t="str">
        <f t="shared" ca="1" si="18"/>
        <v/>
      </c>
      <c r="CE33" s="15" t="str">
        <f t="shared" ca="1" si="18"/>
        <v/>
      </c>
      <c r="CF33" s="15" t="str">
        <f t="shared" ca="1" si="18"/>
        <v/>
      </c>
      <c r="CG33" s="15" t="str">
        <f t="shared" ca="1" si="18"/>
        <v/>
      </c>
      <c r="CH33" s="15" t="str">
        <f t="shared" ca="1" si="18"/>
        <v/>
      </c>
      <c r="CI33" s="15" t="str">
        <f t="shared" ca="1" si="18"/>
        <v/>
      </c>
      <c r="CJ33" s="15" t="str">
        <f t="shared" ca="1" si="18"/>
        <v/>
      </c>
      <c r="CK33" s="15" t="str">
        <f t="shared" ca="1" si="18"/>
        <v/>
      </c>
      <c r="CL33" s="15" t="str">
        <f t="shared" ca="1" si="18"/>
        <v/>
      </c>
      <c r="CM33" s="15" t="str">
        <f t="shared" ca="1" si="18"/>
        <v/>
      </c>
      <c r="CN33" s="15" t="str">
        <f t="shared" ca="1" si="18"/>
        <v/>
      </c>
      <c r="CO33" s="15" t="str">
        <f t="shared" ca="1" si="18"/>
        <v/>
      </c>
      <c r="CP33" s="15" t="str">
        <f t="shared" ca="1" si="18"/>
        <v/>
      </c>
      <c r="CQ33" s="15" t="str">
        <f t="shared" ca="1" si="18"/>
        <v/>
      </c>
      <c r="CR33" s="15" t="str">
        <f t="shared" ca="1" si="18"/>
        <v/>
      </c>
      <c r="CS33" s="15" t="str">
        <f t="shared" ca="1" si="18"/>
        <v/>
      </c>
      <c r="CT33" s="15" t="str">
        <f t="shared" ca="1" si="18"/>
        <v/>
      </c>
      <c r="CU33" s="15" t="str">
        <f t="shared" ca="1" si="18"/>
        <v/>
      </c>
      <c r="CV33" s="15" t="str">
        <f t="shared" ca="1" si="18"/>
        <v/>
      </c>
      <c r="CW33" s="15" t="str">
        <f t="shared" ca="1" si="18"/>
        <v/>
      </c>
      <c r="CX33" s="15" t="str">
        <f t="shared" ca="1" si="18"/>
        <v/>
      </c>
      <c r="CY33" s="15" t="str">
        <f t="shared" ca="1" si="18"/>
        <v/>
      </c>
      <c r="CZ33" s="15" t="str">
        <f t="shared" ca="1" si="18"/>
        <v/>
      </c>
      <c r="DA33" s="15" t="str">
        <f t="shared" ca="1" si="18"/>
        <v/>
      </c>
      <c r="DB33" s="15" t="str">
        <f t="shared" ca="1" si="18"/>
        <v/>
      </c>
      <c r="DC33" s="15" t="str">
        <f t="shared" ca="1" si="18"/>
        <v/>
      </c>
      <c r="DD33" s="15" t="str">
        <f t="shared" ca="1" si="18"/>
        <v/>
      </c>
      <c r="DE33" s="15" t="str">
        <f t="shared" ca="1" si="18"/>
        <v/>
      </c>
      <c r="DF33" s="15" t="str">
        <f t="shared" ca="1" si="18"/>
        <v/>
      </c>
      <c r="DG33" s="15" t="str">
        <f t="shared" ca="1" si="18"/>
        <v/>
      </c>
      <c r="DH33" s="15" t="str">
        <f t="shared" ca="1" si="18"/>
        <v/>
      </c>
      <c r="DI33" s="15" t="str">
        <f t="shared" ca="1" si="18"/>
        <v/>
      </c>
      <c r="DJ33" s="15" t="str">
        <f t="shared" ca="1" si="18"/>
        <v/>
      </c>
      <c r="DK33" s="15" t="str">
        <f t="shared" ca="1" si="18"/>
        <v/>
      </c>
      <c r="DL33" s="15" t="str">
        <f t="shared" ca="1" si="18"/>
        <v/>
      </c>
      <c r="DM33" s="15" t="str">
        <f t="shared" ca="1" si="18"/>
        <v/>
      </c>
      <c r="DN33" s="15" t="str">
        <f t="shared" ca="1" si="18"/>
        <v/>
      </c>
      <c r="DO33" s="15" t="str">
        <f t="shared" ca="1" si="18"/>
        <v/>
      </c>
      <c r="DP33" s="15" t="str">
        <f t="shared" ca="1" si="18"/>
        <v/>
      </c>
      <c r="DQ33" s="15" t="str">
        <f t="shared" ca="1" si="18"/>
        <v/>
      </c>
    </row>
    <row r="34" spans="1:121" s="7" customFormat="1" ht="14.4" x14ac:dyDescent="0.3">
      <c r="A34" s="10"/>
    </row>
    <row r="35" spans="1:121" s="7" customFormat="1" ht="14.4" x14ac:dyDescent="0.3">
      <c r="A35" s="35" t="s">
        <v>2</v>
      </c>
      <c r="B35" s="36">
        <f ca="1">SUM(B33:OFFSET(B33,1,B6*B14-1))</f>
        <v>5.800386440376025</v>
      </c>
    </row>
    <row r="36" spans="1:121" s="7" customFormat="1" ht="14.4" x14ac:dyDescent="0.3">
      <c r="A36" s="10"/>
    </row>
    <row r="37" spans="1:121" s="7" customFormat="1" ht="14.4" x14ac:dyDescent="0.3">
      <c r="A37" s="37" t="s">
        <v>15</v>
      </c>
      <c r="B37" s="36">
        <f ca="1">+B35*(1/(1+$B$12/$B$6))</f>
        <v>5.1789164646214507</v>
      </c>
    </row>
    <row r="38" spans="1:121" s="7" customFormat="1" ht="14.4" x14ac:dyDescent="0.3">
      <c r="A38" s="10"/>
    </row>
    <row r="39" spans="1:121" s="7" customFormat="1" ht="15" thickBot="1" x14ac:dyDescent="0.35">
      <c r="A39" s="10"/>
    </row>
    <row r="40" spans="1:121" s="7" customFormat="1" ht="15" thickBot="1" x14ac:dyDescent="0.35">
      <c r="A40" s="31" t="s">
        <v>3</v>
      </c>
      <c r="B40" s="15">
        <f ca="1">IF(B33="","",B20*B18*(B18+1)/(1+$B$12/$B$6)^(B18+2))</f>
        <v>14.235604956268217</v>
      </c>
      <c r="C40" s="15">
        <f t="shared" ref="C40:BN40" ca="1" si="19">IF(C33="","",C20*C18*(C18+1)/(1+$B$12/$B$6)^(C18+2))</f>
        <v>38.131084704289869</v>
      </c>
      <c r="D40" s="15">
        <f t="shared" ca="1" si="19"/>
        <v>68.091222686231902</v>
      </c>
      <c r="E40" s="15">
        <f t="shared" ca="1" si="19"/>
        <v>101.32622423546414</v>
      </c>
      <c r="F40" s="15">
        <f t="shared" ca="1" si="19"/>
        <v>135.70476460106804</v>
      </c>
      <c r="G40" s="15">
        <f t="shared" ca="1" si="19"/>
        <v>169.63095575133502</v>
      </c>
      <c r="H40" s="15">
        <f t="shared" ca="1" si="19"/>
        <v>201.94161398968456</v>
      </c>
      <c r="I40" s="15">
        <f t="shared" ca="1" si="19"/>
        <v>231.82073034530111</v>
      </c>
      <c r="J40" s="15">
        <f t="shared" ca="1" si="19"/>
        <v>258.72849368895208</v>
      </c>
      <c r="K40" s="15">
        <f t="shared" ca="1" si="19"/>
        <v>3105.7686246392072</v>
      </c>
      <c r="L40" s="15" t="str">
        <f t="shared" ca="1" si="19"/>
        <v/>
      </c>
      <c r="M40" s="15" t="str">
        <f t="shared" ca="1" si="19"/>
        <v/>
      </c>
      <c r="N40" s="15" t="str">
        <f t="shared" ca="1" si="19"/>
        <v/>
      </c>
      <c r="O40" s="15" t="str">
        <f t="shared" ca="1" si="19"/>
        <v/>
      </c>
      <c r="P40" s="15" t="str">
        <f t="shared" ca="1" si="19"/>
        <v/>
      </c>
      <c r="Q40" s="15" t="str">
        <f t="shared" ca="1" si="19"/>
        <v/>
      </c>
      <c r="R40" s="15" t="str">
        <f t="shared" ca="1" si="19"/>
        <v/>
      </c>
      <c r="S40" s="15" t="str">
        <f t="shared" ca="1" si="19"/>
        <v/>
      </c>
      <c r="T40" s="15" t="str">
        <f t="shared" ca="1" si="19"/>
        <v/>
      </c>
      <c r="U40" s="15" t="str">
        <f t="shared" ca="1" si="19"/>
        <v/>
      </c>
      <c r="V40" s="15" t="str">
        <f t="shared" ca="1" si="19"/>
        <v/>
      </c>
      <c r="W40" s="15" t="str">
        <f t="shared" ca="1" si="19"/>
        <v/>
      </c>
      <c r="X40" s="15" t="str">
        <f t="shared" ca="1" si="19"/>
        <v/>
      </c>
      <c r="Y40" s="15" t="str">
        <f t="shared" ca="1" si="19"/>
        <v/>
      </c>
      <c r="Z40" s="15" t="str">
        <f t="shared" ca="1" si="19"/>
        <v/>
      </c>
      <c r="AA40" s="15" t="str">
        <f t="shared" ca="1" si="19"/>
        <v/>
      </c>
      <c r="AB40" s="15" t="str">
        <f t="shared" ca="1" si="19"/>
        <v/>
      </c>
      <c r="AC40" s="15" t="str">
        <f t="shared" ca="1" si="19"/>
        <v/>
      </c>
      <c r="AD40" s="15" t="str">
        <f t="shared" ca="1" si="19"/>
        <v/>
      </c>
      <c r="AE40" s="15" t="str">
        <f t="shared" ca="1" si="19"/>
        <v/>
      </c>
      <c r="AF40" s="15" t="str">
        <f t="shared" ca="1" si="19"/>
        <v/>
      </c>
      <c r="AG40" s="15" t="str">
        <f t="shared" ca="1" si="19"/>
        <v/>
      </c>
      <c r="AH40" s="15" t="str">
        <f t="shared" ca="1" si="19"/>
        <v/>
      </c>
      <c r="AI40" s="15" t="str">
        <f t="shared" ca="1" si="19"/>
        <v/>
      </c>
      <c r="AJ40" s="15" t="str">
        <f t="shared" ca="1" si="19"/>
        <v/>
      </c>
      <c r="AK40" s="15" t="str">
        <f t="shared" ca="1" si="19"/>
        <v/>
      </c>
      <c r="AL40" s="15" t="str">
        <f t="shared" ca="1" si="19"/>
        <v/>
      </c>
      <c r="AM40" s="15" t="str">
        <f t="shared" ca="1" si="19"/>
        <v/>
      </c>
      <c r="AN40" s="15" t="str">
        <f t="shared" ca="1" si="19"/>
        <v/>
      </c>
      <c r="AO40" s="15" t="str">
        <f t="shared" ca="1" si="19"/>
        <v/>
      </c>
      <c r="AP40" s="15" t="str">
        <f t="shared" ca="1" si="19"/>
        <v/>
      </c>
      <c r="AQ40" s="15" t="str">
        <f t="shared" ca="1" si="19"/>
        <v/>
      </c>
      <c r="AR40" s="15" t="str">
        <f t="shared" ca="1" si="19"/>
        <v/>
      </c>
      <c r="AS40" s="15" t="str">
        <f t="shared" ca="1" si="19"/>
        <v/>
      </c>
      <c r="AT40" s="15" t="str">
        <f t="shared" ca="1" si="19"/>
        <v/>
      </c>
      <c r="AU40" s="15" t="str">
        <f t="shared" ca="1" si="19"/>
        <v/>
      </c>
      <c r="AV40" s="15" t="str">
        <f t="shared" ca="1" si="19"/>
        <v/>
      </c>
      <c r="AW40" s="15" t="str">
        <f t="shared" ca="1" si="19"/>
        <v/>
      </c>
      <c r="AX40" s="15" t="str">
        <f t="shared" ca="1" si="19"/>
        <v/>
      </c>
      <c r="AY40" s="15" t="str">
        <f t="shared" ca="1" si="19"/>
        <v/>
      </c>
      <c r="AZ40" s="15" t="str">
        <f t="shared" ca="1" si="19"/>
        <v/>
      </c>
      <c r="BA40" s="15" t="str">
        <f t="shared" ca="1" si="19"/>
        <v/>
      </c>
      <c r="BB40" s="15" t="str">
        <f t="shared" ca="1" si="19"/>
        <v/>
      </c>
      <c r="BC40" s="15" t="str">
        <f t="shared" ca="1" si="19"/>
        <v/>
      </c>
      <c r="BD40" s="15" t="str">
        <f t="shared" ca="1" si="19"/>
        <v/>
      </c>
      <c r="BE40" s="15" t="str">
        <f t="shared" ca="1" si="19"/>
        <v/>
      </c>
      <c r="BF40" s="15" t="str">
        <f t="shared" ca="1" si="19"/>
        <v/>
      </c>
      <c r="BG40" s="15" t="str">
        <f t="shared" ca="1" si="19"/>
        <v/>
      </c>
      <c r="BH40" s="15" t="str">
        <f t="shared" ca="1" si="19"/>
        <v/>
      </c>
      <c r="BI40" s="15" t="str">
        <f t="shared" ca="1" si="19"/>
        <v/>
      </c>
      <c r="BJ40" s="15" t="str">
        <f t="shared" ca="1" si="19"/>
        <v/>
      </c>
      <c r="BK40" s="15" t="str">
        <f t="shared" ca="1" si="19"/>
        <v/>
      </c>
      <c r="BL40" s="15" t="str">
        <f t="shared" ca="1" si="19"/>
        <v/>
      </c>
      <c r="BM40" s="15" t="str">
        <f t="shared" ca="1" si="19"/>
        <v/>
      </c>
      <c r="BN40" s="15" t="str">
        <f t="shared" ca="1" si="19"/>
        <v/>
      </c>
      <c r="BO40" s="15" t="str">
        <f t="shared" ref="BO40:DQ40" ca="1" si="20">IF(BO33="","",BO20*BO18*(BO18+1)/(1+$B$12/$B$6)^(BO18+2))</f>
        <v/>
      </c>
      <c r="BP40" s="15" t="str">
        <f t="shared" ca="1" si="20"/>
        <v/>
      </c>
      <c r="BQ40" s="15" t="str">
        <f t="shared" ca="1" si="20"/>
        <v/>
      </c>
      <c r="BR40" s="15" t="str">
        <f t="shared" ca="1" si="20"/>
        <v/>
      </c>
      <c r="BS40" s="15" t="str">
        <f t="shared" ca="1" si="20"/>
        <v/>
      </c>
      <c r="BT40" s="15" t="str">
        <f t="shared" ca="1" si="20"/>
        <v/>
      </c>
      <c r="BU40" s="15" t="str">
        <f t="shared" ca="1" si="20"/>
        <v/>
      </c>
      <c r="BV40" s="15" t="str">
        <f t="shared" ca="1" si="20"/>
        <v/>
      </c>
      <c r="BW40" s="15" t="str">
        <f t="shared" ca="1" si="20"/>
        <v/>
      </c>
      <c r="BX40" s="15" t="str">
        <f t="shared" ca="1" si="20"/>
        <v/>
      </c>
      <c r="BY40" s="15" t="str">
        <f t="shared" ca="1" si="20"/>
        <v/>
      </c>
      <c r="BZ40" s="15" t="str">
        <f t="shared" ca="1" si="20"/>
        <v/>
      </c>
      <c r="CA40" s="15" t="str">
        <f t="shared" ca="1" si="20"/>
        <v/>
      </c>
      <c r="CB40" s="15" t="str">
        <f t="shared" ca="1" si="20"/>
        <v/>
      </c>
      <c r="CC40" s="15" t="str">
        <f t="shared" ca="1" si="20"/>
        <v/>
      </c>
      <c r="CD40" s="15" t="str">
        <f t="shared" ca="1" si="20"/>
        <v/>
      </c>
      <c r="CE40" s="15" t="str">
        <f t="shared" ca="1" si="20"/>
        <v/>
      </c>
      <c r="CF40" s="15" t="str">
        <f t="shared" ca="1" si="20"/>
        <v/>
      </c>
      <c r="CG40" s="15" t="str">
        <f t="shared" ca="1" si="20"/>
        <v/>
      </c>
      <c r="CH40" s="15" t="str">
        <f t="shared" ca="1" si="20"/>
        <v/>
      </c>
      <c r="CI40" s="15" t="str">
        <f t="shared" ca="1" si="20"/>
        <v/>
      </c>
      <c r="CJ40" s="15" t="str">
        <f t="shared" ca="1" si="20"/>
        <v/>
      </c>
      <c r="CK40" s="15" t="str">
        <f t="shared" ca="1" si="20"/>
        <v/>
      </c>
      <c r="CL40" s="15" t="str">
        <f t="shared" ca="1" si="20"/>
        <v/>
      </c>
      <c r="CM40" s="15" t="str">
        <f t="shared" ca="1" si="20"/>
        <v/>
      </c>
      <c r="CN40" s="15" t="str">
        <f t="shared" ca="1" si="20"/>
        <v/>
      </c>
      <c r="CO40" s="15" t="str">
        <f t="shared" ca="1" si="20"/>
        <v/>
      </c>
      <c r="CP40" s="15" t="str">
        <f t="shared" ca="1" si="20"/>
        <v/>
      </c>
      <c r="CQ40" s="15" t="str">
        <f t="shared" ca="1" si="20"/>
        <v/>
      </c>
      <c r="CR40" s="15" t="str">
        <f t="shared" ca="1" si="20"/>
        <v/>
      </c>
      <c r="CS40" s="15" t="str">
        <f t="shared" ca="1" si="20"/>
        <v/>
      </c>
      <c r="CT40" s="15" t="str">
        <f t="shared" ca="1" si="20"/>
        <v/>
      </c>
      <c r="CU40" s="15" t="str">
        <f t="shared" ca="1" si="20"/>
        <v/>
      </c>
      <c r="CV40" s="15" t="str">
        <f t="shared" ca="1" si="20"/>
        <v/>
      </c>
      <c r="CW40" s="15" t="str">
        <f t="shared" ca="1" si="20"/>
        <v/>
      </c>
      <c r="CX40" s="15" t="str">
        <f t="shared" ca="1" si="20"/>
        <v/>
      </c>
      <c r="CY40" s="15" t="str">
        <f t="shared" ca="1" si="20"/>
        <v/>
      </c>
      <c r="CZ40" s="15" t="str">
        <f t="shared" ca="1" si="20"/>
        <v/>
      </c>
      <c r="DA40" s="15" t="str">
        <f t="shared" ca="1" si="20"/>
        <v/>
      </c>
      <c r="DB40" s="15" t="str">
        <f t="shared" ca="1" si="20"/>
        <v/>
      </c>
      <c r="DC40" s="15" t="str">
        <f t="shared" ca="1" si="20"/>
        <v/>
      </c>
      <c r="DD40" s="15" t="str">
        <f t="shared" ca="1" si="20"/>
        <v/>
      </c>
      <c r="DE40" s="15" t="str">
        <f t="shared" ca="1" si="20"/>
        <v/>
      </c>
      <c r="DF40" s="15" t="str">
        <f t="shared" ca="1" si="20"/>
        <v/>
      </c>
      <c r="DG40" s="15" t="str">
        <f t="shared" ca="1" si="20"/>
        <v/>
      </c>
      <c r="DH40" s="15" t="str">
        <f t="shared" ca="1" si="20"/>
        <v/>
      </c>
      <c r="DI40" s="15" t="str">
        <f t="shared" ca="1" si="20"/>
        <v/>
      </c>
      <c r="DJ40" s="15" t="str">
        <f t="shared" ca="1" si="20"/>
        <v/>
      </c>
      <c r="DK40" s="15" t="str">
        <f t="shared" ca="1" si="20"/>
        <v/>
      </c>
      <c r="DL40" s="15" t="str">
        <f t="shared" ca="1" si="20"/>
        <v/>
      </c>
      <c r="DM40" s="15" t="str">
        <f t="shared" ca="1" si="20"/>
        <v/>
      </c>
      <c r="DN40" s="15" t="str">
        <f t="shared" ca="1" si="20"/>
        <v/>
      </c>
      <c r="DO40" s="15" t="str">
        <f t="shared" ca="1" si="20"/>
        <v/>
      </c>
      <c r="DP40" s="15" t="str">
        <f t="shared" ca="1" si="20"/>
        <v/>
      </c>
      <c r="DQ40" s="15" t="str">
        <f t="shared" ca="1" si="20"/>
        <v/>
      </c>
    </row>
    <row r="41" spans="1:121" s="7" customFormat="1" ht="14.4" x14ac:dyDescent="0.3">
      <c r="A41" s="10"/>
    </row>
    <row r="42" spans="1:121" s="7" customFormat="1" ht="14.4" x14ac:dyDescent="0.3">
      <c r="A42" s="33" t="s">
        <v>3</v>
      </c>
      <c r="B42" s="34">
        <f ca="1">(1/$B$6)^2*(1/B29)*SUM(B40:OFFSET(B40,1,B6*B14-1))</f>
        <v>44.790844066393305</v>
      </c>
    </row>
    <row r="46" spans="1:121" x14ac:dyDescent="0.3">
      <c r="E46" s="5"/>
    </row>
    <row r="47" spans="1:121" x14ac:dyDescent="0.3">
      <c r="E47" s="6"/>
    </row>
    <row r="48" spans="1:121" x14ac:dyDescent="0.3">
      <c r="E48" s="6"/>
    </row>
    <row r="118" spans="1:2" x14ac:dyDescent="0.3">
      <c r="A118" s="2">
        <v>1</v>
      </c>
      <c r="B118" s="2" t="s">
        <v>9</v>
      </c>
    </row>
    <row r="119" spans="1:2" x14ac:dyDescent="0.3">
      <c r="A119" s="2">
        <v>2</v>
      </c>
      <c r="B119" s="2" t="s">
        <v>10</v>
      </c>
    </row>
    <row r="120" spans="1:2" x14ac:dyDescent="0.3">
      <c r="A120" s="2">
        <v>4</v>
      </c>
      <c r="B120" s="2" t="s">
        <v>11</v>
      </c>
    </row>
    <row r="121" spans="1:2" x14ac:dyDescent="0.3">
      <c r="A121" s="2">
        <v>12</v>
      </c>
      <c r="B121" s="2" t="s">
        <v>21</v>
      </c>
    </row>
    <row r="123" spans="1:2" x14ac:dyDescent="0.3">
      <c r="A123" s="2" t="s">
        <v>12</v>
      </c>
    </row>
    <row r="124" spans="1:2" x14ac:dyDescent="0.3">
      <c r="A124" s="2" t="s">
        <v>13</v>
      </c>
    </row>
    <row r="130" spans="1:2" x14ac:dyDescent="0.3">
      <c r="A130" s="2" t="s">
        <v>18</v>
      </c>
    </row>
    <row r="131" spans="1:2" x14ac:dyDescent="0.3">
      <c r="A131" s="2" t="str">
        <f>VLOOKUP(B6,A134:B137,2)</f>
        <v>Nominal Anual</v>
      </c>
    </row>
    <row r="134" spans="1:2" x14ac:dyDescent="0.3">
      <c r="A134" s="2">
        <v>1</v>
      </c>
      <c r="B134" s="2" t="s">
        <v>24</v>
      </c>
    </row>
    <row r="135" spans="1:2" x14ac:dyDescent="0.3">
      <c r="A135" s="2">
        <v>2</v>
      </c>
      <c r="B135" s="2" t="s">
        <v>20</v>
      </c>
    </row>
    <row r="136" spans="1:2" x14ac:dyDescent="0.3">
      <c r="A136" s="2">
        <v>4</v>
      </c>
      <c r="B136" s="2" t="s">
        <v>19</v>
      </c>
    </row>
    <row r="137" spans="1:2" x14ac:dyDescent="0.3">
      <c r="A137" s="2">
        <v>12</v>
      </c>
      <c r="B137" s="2" t="s">
        <v>22</v>
      </c>
    </row>
  </sheetData>
  <phoneticPr fontId="0" type="noConversion"/>
  <conditionalFormatting sqref="B27:U27 B28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{8A41BD25-A31B-4A00-A965-2539AD431730}</x14:id>
        </ext>
      </extLst>
    </cfRule>
  </conditionalFormatting>
  <conditionalFormatting sqref="B18:DQ18">
    <cfRule type="expression" dxfId="21" priority="193">
      <formula>$B$6=4</formula>
    </cfRule>
    <cfRule type="expression" dxfId="20" priority="194">
      <formula>$B$6=1</formula>
    </cfRule>
    <cfRule type="expression" dxfId="19" priority="195">
      <formula>$B$6=2</formula>
    </cfRule>
  </conditionalFormatting>
  <conditionalFormatting sqref="C12">
    <cfRule type="expression" dxfId="18" priority="2">
      <formula>$C$12="&lt;=== Esta celda NO se toca"</formula>
    </cfRule>
  </conditionalFormatting>
  <conditionalFormatting sqref="C18:DQ18">
    <cfRule type="expression" dxfId="17" priority="418">
      <formula>B18&gt;=$B$14*$B$6</formula>
    </cfRule>
  </conditionalFormatting>
  <conditionalFormatting sqref="D12">
    <cfRule type="expression" dxfId="16" priority="1">
      <formula>$C$12="&lt;=== Esta celda NO se toca"</formula>
    </cfRule>
  </conditionalFormatting>
  <conditionalFormatting sqref="E28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{1165C050-E93A-46F2-B3F0-2ED51D1BAC99}</x14:id>
        </ext>
      </extLst>
    </cfRule>
  </conditionalFormatting>
  <conditionalFormatting sqref="G21 G23 G25 G28:G30 G32 G34:G39">
    <cfRule type="expression" dxfId="15" priority="196">
      <formula>$G$18&gt;$B$14*$B$6</formula>
    </cfRule>
  </conditionalFormatting>
  <conditionalFormatting sqref="H16">
    <cfRule type="expression" dxfId="14" priority="5">
      <formula>$B$16="Sí"</formula>
    </cfRule>
  </conditionalFormatting>
  <conditionalFormatting sqref="H21 H23 H25 H28:H30 H32 H34:H39">
    <cfRule type="expression" dxfId="13" priority="201">
      <formula>$H$18&gt;$B$14*$B$6</formula>
    </cfRule>
  </conditionalFormatting>
  <conditionalFormatting sqref="I21 I23 I25 I28:I30 I32">
    <cfRule type="expression" dxfId="12" priority="206">
      <formula>$I$18&gt;$B$14*$B$6</formula>
    </cfRule>
  </conditionalFormatting>
  <conditionalFormatting sqref="J21 J23 J25 J28:J30 J32 J34:J39">
    <cfRule type="expression" dxfId="11" priority="210">
      <formula>$J$18&gt;$B$14*$B$6</formula>
    </cfRule>
  </conditionalFormatting>
  <conditionalFormatting sqref="K21 K23 K25 K28:K30 K32 K34:K39">
    <cfRule type="expression" dxfId="10" priority="215">
      <formula>$K$18&gt;$B$14*$B$6</formula>
    </cfRule>
  </conditionalFormatting>
  <conditionalFormatting sqref="L21 L23 L25 L28:L30 L32 L34:L39">
    <cfRule type="expression" dxfId="9" priority="220">
      <formula>$L$18&gt;$B$14*$B$6</formula>
    </cfRule>
  </conditionalFormatting>
  <conditionalFormatting sqref="M21 M23 M25 M28:M30 M32 M34:M39">
    <cfRule type="expression" dxfId="8" priority="225">
      <formula>$M$18&gt;$B$14*$B$6</formula>
    </cfRule>
  </conditionalFormatting>
  <conditionalFormatting sqref="N21 N23 N25 N28:N30 N32 N34:N39">
    <cfRule type="expression" dxfId="7" priority="230">
      <formula>$N$18&gt;$B$14*$B$6</formula>
    </cfRule>
  </conditionalFormatting>
  <conditionalFormatting sqref="O21 O23 O25 O28:O30 O32 O34:O39">
    <cfRule type="expression" dxfId="6" priority="235">
      <formula>$O$18&gt;$B$14*$B$6</formula>
    </cfRule>
  </conditionalFormatting>
  <conditionalFormatting sqref="P21 P23 P25 P28:P30 P32 P34:P39">
    <cfRule type="expression" dxfId="5" priority="240">
      <formula>$P$18&gt;$B$14*$B$6</formula>
    </cfRule>
  </conditionalFormatting>
  <conditionalFormatting sqref="Q21 Q23 Q25 Q28:Q30 Q32 Q34:Q39">
    <cfRule type="expression" dxfId="4" priority="245">
      <formula>$Q$18&gt;$B$14*$B$6</formula>
    </cfRule>
  </conditionalFormatting>
  <conditionalFormatting sqref="R21 R23 R25 R28:R30 R32 R34:R39">
    <cfRule type="expression" dxfId="3" priority="250">
      <formula>$R$18&gt;$B$14*$B$6</formula>
    </cfRule>
  </conditionalFormatting>
  <conditionalFormatting sqref="S21 S23 S25 S28:S30 S32 S34:S39">
    <cfRule type="expression" dxfId="2" priority="255">
      <formula>$S$18&gt;$B$14*$B$6</formula>
    </cfRule>
  </conditionalFormatting>
  <conditionalFormatting sqref="T21 T23 T25 T28:T30 T32 T34:T39">
    <cfRule type="expression" dxfId="1" priority="260">
      <formula>$T$18&gt;$B$14*$B$6</formula>
    </cfRule>
  </conditionalFormatting>
  <conditionalFormatting sqref="U21 U23 U25 U28:U30 U32 U34:U39">
    <cfRule type="expression" dxfId="0" priority="265">
      <formula>$U$18&gt;$B$14*$B$6</formula>
    </cfRule>
  </conditionalFormatting>
  <dataValidations count="3">
    <dataValidation type="list" allowBlank="1" showInputMessage="1" showErrorMessage="1" sqref="B6" xr:uid="{C7E95FE3-A783-4B29-B3B1-343CE7145327}">
      <formula1>$A$118:$A$121</formula1>
    </dataValidation>
    <dataValidation type="list" allowBlank="1" showInputMessage="1" showErrorMessage="1" sqref="B16" xr:uid="{E293AEE2-D1EC-4993-94A7-005626DEF9D2}">
      <formula1>$A$123:$A$124</formula1>
    </dataValidation>
    <dataValidation type="list" allowBlank="1" showInputMessage="1" showErrorMessage="1" sqref="B8" xr:uid="{3A92FBE5-3489-441A-BFE8-D843F679E336}">
      <formula1>$A$130:$A$131</formula1>
    </dataValidation>
  </dataValidations>
  <pageMargins left="0.75" right="0.75" top="1" bottom="1" header="0" footer="0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41BD25-A31B-4A00-A965-2539AD4317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B27:U27 B28</xm:sqref>
        </x14:conditionalFormatting>
        <x14:conditionalFormatting xmlns:xm="http://schemas.microsoft.com/office/excel/2006/main">
          <x14:cfRule type="dataBar" id="{1165C050-E93A-46F2-B3F0-2ED51D1BAC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CORFINSURA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jubotero</dc:creator>
  <cp:lastModifiedBy>Juan Carlos Botero</cp:lastModifiedBy>
  <dcterms:created xsi:type="dcterms:W3CDTF">2002-07-03T19:27:27Z</dcterms:created>
  <dcterms:modified xsi:type="dcterms:W3CDTF">2026-05-22T01:43:42Z</dcterms:modified>
</cp:coreProperties>
</file>